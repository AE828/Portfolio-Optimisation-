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610"/>
  <workbookPr/>
  <mc:AlternateContent xmlns:mc="http://schemas.openxmlformats.org/markup-compatibility/2006">
    <mc:Choice Requires="x15">
      <x15ac:absPath xmlns:x15ac="http://schemas.microsoft.com/office/spreadsheetml/2010/11/ac" url="https://leeds365-my.sharepoint.com/personal/mm23ae_leeds_ac_uk/Documents/"/>
    </mc:Choice>
  </mc:AlternateContent>
  <xr:revisionPtr revIDLastSave="0" documentId="8_{137EE0B6-987C-4424-AE8F-1EA9114DBF2D}" xr6:coauthVersionLast="47" xr6:coauthVersionMax="47" xr10:uidLastSave="{00000000-0000-0000-0000-000000000000}"/>
  <bookViews>
    <workbookView xWindow="-120" yWindow="-120" windowWidth="29040" windowHeight="15720" xr2:uid="{00000000-000D-0000-FFFF-FFFF00000000}"/>
  </bookViews>
  <sheets>
    <sheet name="FrontSheet" sheetId="1" r:id="rId1"/>
    <sheet name="WEEKLY_RETURNS" sheetId="2" r:id="rId2"/>
    <sheet name="Risk_and_Portfolio_Metrics" sheetId="5"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2" i="1" l="1"/>
  <c r="N62" i="5"/>
  <c r="M61" i="5"/>
  <c r="M60" i="5"/>
  <c r="M57" i="5"/>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2" i="2"/>
  <c r="L51" i="5"/>
  <c r="L50" i="5"/>
  <c r="L56" i="5" s="1"/>
  <c r="L61" i="5" s="1"/>
  <c r="L49" i="5"/>
  <c r="K55" i="5" s="1"/>
  <c r="K61" i="5" s="1"/>
  <c r="L46" i="5"/>
  <c r="N11" i="5"/>
  <c r="N10" i="5"/>
  <c r="H9" i="5"/>
  <c r="L1" i="5"/>
  <c r="L2" i="5"/>
  <c r="L3" i="5"/>
  <c r="L8" i="5"/>
  <c r="H1" i="5"/>
  <c r="H2" i="5"/>
  <c r="H3" i="5"/>
  <c r="H8" i="5"/>
  <c r="B2" i="5"/>
  <c r="A3" i="5"/>
  <c r="C82" i="1"/>
  <c r="C12" i="1"/>
  <c r="A47" i="1"/>
  <c r="A46" i="1"/>
  <c r="A41" i="1"/>
  <c r="A40" i="1"/>
  <c r="E1" i="2" a="1"/>
  <c r="A1" i="2" a="1"/>
  <c r="K56" i="5" l="1"/>
  <c r="L55" i="5"/>
  <c r="E1" i="2"/>
  <c r="C3" i="2"/>
  <c r="A1" i="2"/>
  <c r="A4" i="5"/>
  <c r="B3" i="5"/>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3" i="2"/>
  <c r="L60" i="5" s="1"/>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K60" i="5" l="1"/>
  <c r="K63" i="5" s="1"/>
  <c r="O11" i="2"/>
  <c r="N9" i="5" s="1"/>
  <c r="A5" i="5"/>
  <c r="B4" i="5"/>
  <c r="M18" i="2"/>
  <c r="M19" i="2" s="1"/>
  <c r="I18" i="2"/>
  <c r="N2" i="2"/>
  <c r="M2" i="5" s="1"/>
  <c r="N3" i="2"/>
  <c r="M3" i="5" s="1"/>
  <c r="J3" i="2"/>
  <c r="I3" i="5" s="1"/>
  <c r="J2" i="2"/>
  <c r="I2" i="5" s="1"/>
  <c r="D40" i="5" l="1"/>
  <c r="M20" i="2"/>
  <c r="M21" i="2" s="1"/>
  <c r="M22" i="2" s="1"/>
  <c r="M23" i="2" s="1"/>
  <c r="M24" i="2" s="1"/>
  <c r="M25" i="2" s="1"/>
  <c r="M26" i="2" s="1"/>
  <c r="M27" i="2" s="1"/>
  <c r="M28" i="2" s="1"/>
  <c r="A6" i="5"/>
  <c r="B5" i="5"/>
  <c r="D3" i="5"/>
  <c r="D4" i="5"/>
  <c r="D5" i="5"/>
  <c r="D2" i="5"/>
  <c r="C3" i="5"/>
  <c r="C4" i="5"/>
  <c r="C5" i="5"/>
  <c r="C2" i="5"/>
  <c r="I19" i="2"/>
  <c r="N18" i="2" l="1" a="1"/>
  <c r="N18" i="2" s="1"/>
  <c r="O18" i="2" s="1"/>
  <c r="A7" i="5"/>
  <c r="B6" i="5"/>
  <c r="I20" i="2"/>
  <c r="I21" i="2" s="1"/>
  <c r="O19" i="2" l="1"/>
  <c r="O28" i="2"/>
  <c r="O27" i="2"/>
  <c r="O26" i="2"/>
  <c r="O25" i="2"/>
  <c r="O24" i="2"/>
  <c r="O23" i="2"/>
  <c r="O22" i="2"/>
  <c r="O21" i="2"/>
  <c r="O20" i="2"/>
  <c r="D6" i="5"/>
  <c r="C6" i="5"/>
  <c r="A8" i="5"/>
  <c r="B7" i="5"/>
  <c r="D7" i="5"/>
  <c r="C7" i="5"/>
  <c r="I22" i="2"/>
  <c r="O7" i="2" l="1" a="1"/>
  <c r="O7" i="2" s="1"/>
  <c r="N7" i="2" a="1"/>
  <c r="N7" i="2" s="1"/>
  <c r="N6" i="2" a="1"/>
  <c r="N6" i="2" s="1"/>
  <c r="O6" i="2" a="1"/>
  <c r="O6" i="2" s="1"/>
  <c r="A9" i="5"/>
  <c r="B8" i="5"/>
  <c r="D8" i="5"/>
  <c r="C8" i="5"/>
  <c r="I23" i="2"/>
  <c r="N8" i="2" l="1"/>
  <c r="A10" i="5"/>
  <c r="B9" i="5"/>
  <c r="D9" i="5"/>
  <c r="C9" i="5"/>
  <c r="I24" i="2"/>
  <c r="A11" i="5" l="1"/>
  <c r="B10" i="5"/>
  <c r="D10" i="5"/>
  <c r="C10" i="5"/>
  <c r="I25" i="2"/>
  <c r="A12" i="5" l="1"/>
  <c r="B11" i="5"/>
  <c r="D11" i="5"/>
  <c r="C11" i="5"/>
  <c r="I26" i="2"/>
  <c r="A13" i="5" l="1"/>
  <c r="B12" i="5"/>
  <c r="D12" i="5"/>
  <c r="C12" i="5"/>
  <c r="I27" i="2"/>
  <c r="A14" i="5" l="1"/>
  <c r="B13" i="5"/>
  <c r="D13" i="5"/>
  <c r="C13" i="5"/>
  <c r="I28" i="2"/>
  <c r="J18" i="2" s="1" a="1"/>
  <c r="A15" i="5" l="1"/>
  <c r="B14" i="5"/>
  <c r="D14" i="5"/>
  <c r="C14" i="5"/>
  <c r="J18" i="2"/>
  <c r="K19" i="2" s="1"/>
  <c r="A16" i="5" l="1"/>
  <c r="B15" i="5"/>
  <c r="D15" i="5"/>
  <c r="C15" i="5"/>
  <c r="K28" i="2"/>
  <c r="K29" i="2"/>
  <c r="K18" i="2"/>
  <c r="K20" i="2"/>
  <c r="K21" i="2"/>
  <c r="K22" i="2"/>
  <c r="K23" i="2"/>
  <c r="K24" i="2"/>
  <c r="K25" i="2"/>
  <c r="K26" i="2"/>
  <c r="K27" i="2"/>
  <c r="J7" i="2" l="1" a="1"/>
  <c r="J7" i="2" s="1"/>
  <c r="K7" i="2" a="1"/>
  <c r="K7" i="2" s="1"/>
  <c r="K6" i="2" a="1"/>
  <c r="K6" i="2" s="1"/>
  <c r="J6" i="2" a="1"/>
  <c r="J6" i="2" s="1"/>
  <c r="A17" i="5"/>
  <c r="B16" i="5"/>
  <c r="D16" i="5"/>
  <c r="C16" i="5"/>
  <c r="J8" i="2" l="1"/>
  <c r="A18" i="5"/>
  <c r="B17" i="5"/>
  <c r="D17" i="5"/>
  <c r="C17" i="5"/>
  <c r="A19" i="5" l="1"/>
  <c r="B18" i="5"/>
  <c r="D18" i="5"/>
  <c r="C18" i="5"/>
  <c r="A20" i="5" l="1"/>
  <c r="B19" i="5"/>
  <c r="D19" i="5"/>
  <c r="C19" i="5"/>
  <c r="A21" i="5" l="1"/>
  <c r="B20" i="5"/>
  <c r="D20" i="5"/>
  <c r="C20" i="5"/>
  <c r="A22" i="5" l="1"/>
  <c r="B21" i="5"/>
  <c r="D21" i="5"/>
  <c r="C21" i="5"/>
  <c r="A23" i="5" l="1"/>
  <c r="B22" i="5"/>
  <c r="D22" i="5"/>
  <c r="C22" i="5"/>
  <c r="A24" i="5" l="1"/>
  <c r="B23" i="5"/>
  <c r="D23" i="5"/>
  <c r="C23" i="5"/>
  <c r="A25" i="5" l="1"/>
  <c r="B24" i="5"/>
  <c r="D24" i="5"/>
  <c r="C24" i="5"/>
  <c r="A26" i="5" l="1"/>
  <c r="B25" i="5"/>
  <c r="D25" i="5"/>
  <c r="C25" i="5"/>
  <c r="A27" i="5" l="1"/>
  <c r="B26" i="5"/>
  <c r="D26" i="5"/>
  <c r="C26" i="5"/>
  <c r="A28" i="5" l="1"/>
  <c r="B27" i="5"/>
  <c r="D27" i="5"/>
  <c r="C27" i="5"/>
  <c r="A29" i="5" l="1"/>
  <c r="B28" i="5"/>
  <c r="D28" i="5"/>
  <c r="C28" i="5"/>
  <c r="A30" i="5" l="1"/>
  <c r="B29" i="5"/>
  <c r="D29" i="5"/>
  <c r="C29" i="5"/>
  <c r="A31" i="5" l="1"/>
  <c r="B30" i="5"/>
  <c r="D30" i="5"/>
  <c r="C30" i="5"/>
  <c r="A32" i="5" l="1"/>
  <c r="B31" i="5"/>
  <c r="D31" i="5"/>
  <c r="C31" i="5"/>
  <c r="A33" i="5" l="1"/>
  <c r="B32" i="5"/>
  <c r="D32" i="5"/>
  <c r="C32" i="5"/>
  <c r="A34" i="5" l="1"/>
  <c r="B33" i="5"/>
  <c r="D33" i="5"/>
  <c r="C33" i="5"/>
  <c r="A35" i="5" l="1"/>
  <c r="B34" i="5"/>
  <c r="D34" i="5"/>
  <c r="C34" i="5"/>
  <c r="A36" i="5" l="1"/>
  <c r="B35" i="5"/>
  <c r="D35" i="5"/>
  <c r="C35" i="5"/>
  <c r="F20" i="5" l="1"/>
  <c r="G20" i="5"/>
  <c r="A37" i="5"/>
  <c r="B36" i="5"/>
  <c r="D36" i="5"/>
  <c r="C36" i="5"/>
  <c r="A38" i="5" l="1"/>
  <c r="B37" i="5"/>
  <c r="D37" i="5"/>
  <c r="C37" i="5"/>
  <c r="G21" i="5" l="1"/>
  <c r="F21" i="5"/>
  <c r="F19" i="5"/>
  <c r="G19" i="5"/>
  <c r="A39" i="5"/>
  <c r="B38" i="5"/>
  <c r="D38" i="5"/>
  <c r="C38" i="5"/>
  <c r="F18" i="5" l="1"/>
  <c r="G18" i="5"/>
  <c r="A40" i="5"/>
  <c r="B39" i="5"/>
  <c r="D39" i="5"/>
  <c r="N46" i="5" s="1"/>
  <c r="C39" i="5"/>
  <c r="M46" i="5" s="1"/>
  <c r="F22" i="5" l="1"/>
  <c r="G22" i="5"/>
  <c r="A41" i="5"/>
  <c r="B40" i="5"/>
  <c r="C40" i="5"/>
  <c r="G17" i="5" l="1"/>
  <c r="F17" i="5"/>
  <c r="A42" i="5"/>
  <c r="B41" i="5"/>
  <c r="D41" i="5"/>
  <c r="C41" i="5"/>
  <c r="G16" i="5" l="1"/>
  <c r="F16" i="5"/>
  <c r="A43" i="5"/>
  <c r="B42" i="5"/>
  <c r="D42" i="5"/>
  <c r="C42" i="5"/>
  <c r="E16" i="5" s="1"/>
  <c r="A44" i="5" l="1"/>
  <c r="B43" i="5"/>
  <c r="D43" i="5"/>
  <c r="C43" i="5"/>
  <c r="E17" i="5" l="1"/>
  <c r="G15" i="5"/>
  <c r="F15" i="5"/>
  <c r="E15" i="5"/>
  <c r="A45" i="5"/>
  <c r="B44" i="5"/>
  <c r="D44" i="5"/>
  <c r="C44" i="5"/>
  <c r="G14" i="5" l="1"/>
  <c r="F14" i="5"/>
  <c r="E14" i="5"/>
  <c r="A46" i="5"/>
  <c r="B45" i="5"/>
  <c r="D45" i="5"/>
  <c r="C45" i="5"/>
  <c r="E18" i="5" l="1"/>
  <c r="F23" i="5"/>
  <c r="G23" i="5"/>
  <c r="A47" i="5"/>
  <c r="B46" i="5"/>
  <c r="D46" i="5"/>
  <c r="C46" i="5"/>
  <c r="E19" i="5" l="1"/>
  <c r="F13" i="5"/>
  <c r="G13" i="5"/>
  <c r="E13" i="5"/>
  <c r="A48" i="5"/>
  <c r="B47" i="5"/>
  <c r="D47" i="5"/>
  <c r="C47" i="5"/>
  <c r="G12" i="5" l="1"/>
  <c r="F12" i="5"/>
  <c r="E12" i="5"/>
  <c r="A49" i="5"/>
  <c r="B48" i="5"/>
  <c r="D48" i="5"/>
  <c r="C48" i="5"/>
  <c r="E20" i="5" s="1"/>
  <c r="A50" i="5" l="1"/>
  <c r="B49" i="5"/>
  <c r="D49" i="5"/>
  <c r="C49" i="5"/>
  <c r="A51" i="5" l="1"/>
  <c r="B50" i="5"/>
  <c r="D50" i="5"/>
  <c r="C50" i="5"/>
  <c r="F24" i="5" l="1"/>
  <c r="G24" i="5"/>
  <c r="E21" i="5"/>
  <c r="A52" i="5"/>
  <c r="B51" i="5"/>
  <c r="D51" i="5"/>
  <c r="C51" i="5"/>
  <c r="E22" i="5" s="1"/>
  <c r="F51" i="5" l="1"/>
  <c r="G51" i="5"/>
  <c r="A53" i="5"/>
  <c r="B52" i="5"/>
  <c r="D52" i="5"/>
  <c r="C52" i="5"/>
  <c r="F35" i="5" l="1"/>
  <c r="G35" i="5"/>
  <c r="F52" i="5"/>
  <c r="G52" i="5"/>
  <c r="E52" i="5"/>
  <c r="A54" i="5"/>
  <c r="B53" i="5"/>
  <c r="D53" i="5"/>
  <c r="C53" i="5"/>
  <c r="F25" i="5" l="1"/>
  <c r="G25" i="5"/>
  <c r="F42" i="5"/>
  <c r="G42" i="5"/>
  <c r="E23" i="5"/>
  <c r="F53" i="5"/>
  <c r="G53" i="5"/>
  <c r="E53" i="5"/>
  <c r="A55" i="5"/>
  <c r="B54" i="5"/>
  <c r="D54" i="5"/>
  <c r="C54" i="5"/>
  <c r="E51" i="5" s="1"/>
  <c r="F54" i="5" l="1"/>
  <c r="G54" i="5"/>
  <c r="E54" i="5"/>
  <c r="A56" i="5"/>
  <c r="B55" i="5"/>
  <c r="D55" i="5"/>
  <c r="C55" i="5"/>
  <c r="G11" i="5" l="1"/>
  <c r="E11" i="5"/>
  <c r="F11" i="5"/>
  <c r="F36" i="5"/>
  <c r="G36" i="5"/>
  <c r="E24" i="5"/>
  <c r="F55" i="5"/>
  <c r="G55" i="5"/>
  <c r="E55" i="5"/>
  <c r="A57" i="5"/>
  <c r="B56" i="5"/>
  <c r="D56" i="5"/>
  <c r="C56" i="5"/>
  <c r="G50" i="5" l="1"/>
  <c r="F50" i="5"/>
  <c r="F41" i="5"/>
  <c r="G41" i="5"/>
  <c r="E25" i="5"/>
  <c r="F56" i="5"/>
  <c r="G56" i="5"/>
  <c r="E56" i="5"/>
  <c r="A58" i="5"/>
  <c r="B57" i="5"/>
  <c r="D57" i="5"/>
  <c r="C57" i="5"/>
  <c r="G43" i="5" l="1"/>
  <c r="F43" i="5"/>
  <c r="E50" i="5"/>
  <c r="G57" i="5"/>
  <c r="F57" i="5"/>
  <c r="E57" i="5"/>
  <c r="A59" i="5"/>
  <c r="B58" i="5"/>
  <c r="D58" i="5"/>
  <c r="C58" i="5"/>
  <c r="G10" i="5" l="1"/>
  <c r="E10" i="5"/>
  <c r="F10" i="5"/>
  <c r="F37" i="5"/>
  <c r="G37" i="5"/>
  <c r="F58" i="5"/>
  <c r="G58" i="5"/>
  <c r="E58" i="5"/>
  <c r="A60" i="5"/>
  <c r="B59" i="5"/>
  <c r="D59" i="5"/>
  <c r="C59" i="5"/>
  <c r="F34" i="5" l="1"/>
  <c r="G34" i="5"/>
  <c r="F40" i="5"/>
  <c r="G40" i="5"/>
  <c r="F4" i="5"/>
  <c r="G4" i="5"/>
  <c r="E4" i="5"/>
  <c r="A61" i="5"/>
  <c r="B60" i="5"/>
  <c r="D60" i="5"/>
  <c r="C60" i="5"/>
  <c r="G26" i="5" l="1"/>
  <c r="F26" i="5"/>
  <c r="E26" i="5"/>
  <c r="A62" i="5"/>
  <c r="B61" i="5"/>
  <c r="D61" i="5"/>
  <c r="C61" i="5"/>
  <c r="G5" i="5" l="1"/>
  <c r="F5" i="5"/>
  <c r="E5" i="5"/>
  <c r="F38" i="5"/>
  <c r="G38" i="5"/>
  <c r="G3" i="5"/>
  <c r="F3" i="5"/>
  <c r="E3" i="5"/>
  <c r="A63" i="5"/>
  <c r="B62" i="5"/>
  <c r="D62" i="5"/>
  <c r="C62" i="5"/>
  <c r="G49" i="5" l="1"/>
  <c r="F49" i="5"/>
  <c r="E49" i="5"/>
  <c r="F39" i="5"/>
  <c r="O46" i="5" s="1"/>
  <c r="G39" i="5"/>
  <c r="P46" i="5" s="1"/>
  <c r="G2" i="5"/>
  <c r="F2" i="5"/>
  <c r="E2" i="5"/>
  <c r="G62" i="5"/>
  <c r="F62" i="5"/>
  <c r="E62" i="5"/>
  <c r="A64" i="5"/>
  <c r="B63" i="5"/>
  <c r="D63" i="5"/>
  <c r="C63" i="5"/>
  <c r="E59" i="5" l="1"/>
  <c r="F59" i="5"/>
  <c r="G59" i="5"/>
  <c r="F63" i="5"/>
  <c r="G63" i="5"/>
  <c r="E63" i="5"/>
  <c r="A65" i="5"/>
  <c r="B64" i="5"/>
  <c r="D64" i="5"/>
  <c r="C64" i="5"/>
  <c r="G44" i="5" l="1"/>
  <c r="F44" i="5"/>
  <c r="F64" i="5"/>
  <c r="G64" i="5"/>
  <c r="E64" i="5"/>
  <c r="A66" i="5"/>
  <c r="B65" i="5"/>
  <c r="D65" i="5"/>
  <c r="C65" i="5"/>
  <c r="G27" i="5" l="1"/>
  <c r="F27" i="5"/>
  <c r="E27" i="5"/>
  <c r="F65" i="5"/>
  <c r="G65" i="5"/>
  <c r="E65" i="5"/>
  <c r="A67" i="5"/>
  <c r="B66" i="5"/>
  <c r="D66" i="5"/>
  <c r="C66" i="5"/>
  <c r="F33" i="5" l="1"/>
  <c r="G33" i="5"/>
  <c r="F66" i="5"/>
  <c r="G66" i="5"/>
  <c r="E66" i="5"/>
  <c r="A68" i="5"/>
  <c r="B67" i="5"/>
  <c r="D67" i="5"/>
  <c r="C67" i="5"/>
  <c r="G9" i="5" l="1"/>
  <c r="F9" i="5"/>
  <c r="E9" i="5"/>
  <c r="F67" i="5"/>
  <c r="G67" i="5"/>
  <c r="E67" i="5"/>
  <c r="A69" i="5"/>
  <c r="B68" i="5"/>
  <c r="D68" i="5"/>
  <c r="C68" i="5"/>
  <c r="G61" i="5" l="1"/>
  <c r="E61" i="5"/>
  <c r="F61" i="5"/>
  <c r="F68" i="5"/>
  <c r="G68" i="5"/>
  <c r="E68" i="5"/>
  <c r="A70" i="5"/>
  <c r="B69" i="5"/>
  <c r="D69" i="5"/>
  <c r="C69" i="5"/>
  <c r="F48" i="5" l="1"/>
  <c r="G48" i="5"/>
  <c r="E48" i="5"/>
  <c r="F69" i="5"/>
  <c r="G69" i="5"/>
  <c r="E69" i="5"/>
  <c r="A71" i="5"/>
  <c r="B70" i="5"/>
  <c r="D70" i="5"/>
  <c r="C70" i="5"/>
  <c r="E33" i="5" l="1"/>
  <c r="G28" i="5"/>
  <c r="F28" i="5"/>
  <c r="E28" i="5"/>
  <c r="F70" i="5"/>
  <c r="G70" i="5"/>
  <c r="E70" i="5"/>
  <c r="A72" i="5"/>
  <c r="B71" i="5"/>
  <c r="D71" i="5"/>
  <c r="C71" i="5"/>
  <c r="E44" i="5" l="1"/>
  <c r="G32" i="5"/>
  <c r="F32" i="5"/>
  <c r="E32" i="5"/>
  <c r="F71" i="5"/>
  <c r="G71" i="5"/>
  <c r="E71" i="5"/>
  <c r="A73" i="5"/>
  <c r="B72" i="5"/>
  <c r="D72" i="5"/>
  <c r="C72" i="5"/>
  <c r="E34" i="5" l="1"/>
  <c r="G8" i="5"/>
  <c r="E8" i="5"/>
  <c r="F8" i="5"/>
  <c r="F72" i="5"/>
  <c r="G72" i="5"/>
  <c r="E72" i="5"/>
  <c r="A74" i="5"/>
  <c r="B73" i="5"/>
  <c r="D73" i="5"/>
  <c r="C73" i="5"/>
  <c r="E43" i="5" l="1"/>
  <c r="G45" i="5"/>
  <c r="F45" i="5"/>
  <c r="E45" i="5"/>
  <c r="F73" i="5"/>
  <c r="G73" i="5"/>
  <c r="E73" i="5"/>
  <c r="A75" i="5"/>
  <c r="B74" i="5"/>
  <c r="D74" i="5"/>
  <c r="C74" i="5"/>
  <c r="E35" i="5" l="1"/>
  <c r="F29" i="5"/>
  <c r="G29" i="5"/>
  <c r="E29" i="5"/>
  <c r="F74" i="5"/>
  <c r="G74" i="5"/>
  <c r="E74" i="5"/>
  <c r="A76" i="5"/>
  <c r="B75" i="5"/>
  <c r="D75" i="5"/>
  <c r="C75" i="5"/>
  <c r="E42" i="5" l="1"/>
  <c r="G6" i="5"/>
  <c r="E6" i="5"/>
  <c r="F6" i="5"/>
  <c r="F75" i="5"/>
  <c r="G75" i="5"/>
  <c r="E75" i="5"/>
  <c r="A77" i="5"/>
  <c r="B76" i="5"/>
  <c r="D76" i="5"/>
  <c r="C76" i="5"/>
  <c r="E36" i="5" l="1"/>
  <c r="F60" i="5"/>
  <c r="G60" i="5"/>
  <c r="E60" i="5"/>
  <c r="F76" i="5"/>
  <c r="G76" i="5"/>
  <c r="E76" i="5"/>
  <c r="A78" i="5"/>
  <c r="B77" i="5"/>
  <c r="D77" i="5"/>
  <c r="C77" i="5"/>
  <c r="E41" i="5" l="1"/>
  <c r="F31" i="5"/>
  <c r="G31" i="5"/>
  <c r="E31" i="5"/>
  <c r="F77" i="5"/>
  <c r="G77" i="5"/>
  <c r="E77" i="5"/>
  <c r="A79" i="5"/>
  <c r="B78" i="5"/>
  <c r="D78" i="5"/>
  <c r="C78" i="5"/>
  <c r="E37" i="5" l="1"/>
  <c r="F47" i="5"/>
  <c r="G47" i="5"/>
  <c r="E47" i="5"/>
  <c r="F78" i="5"/>
  <c r="G78" i="5"/>
  <c r="E78" i="5"/>
  <c r="A80" i="5"/>
  <c r="B79" i="5"/>
  <c r="D79" i="5"/>
  <c r="C79" i="5"/>
  <c r="E40" i="5" l="1"/>
  <c r="F46" i="5"/>
  <c r="G46" i="5"/>
  <c r="E46" i="5"/>
  <c r="F79" i="5"/>
  <c r="G79" i="5"/>
  <c r="E79" i="5"/>
  <c r="A81" i="5"/>
  <c r="B80" i="5"/>
  <c r="D80" i="5"/>
  <c r="C80" i="5"/>
  <c r="E38" i="5" l="1"/>
  <c r="F30" i="5"/>
  <c r="G30" i="5"/>
  <c r="E30" i="5"/>
  <c r="F80" i="5"/>
  <c r="G80" i="5"/>
  <c r="E80" i="5"/>
  <c r="B81" i="5"/>
  <c r="D81" i="5"/>
  <c r="C81" i="5"/>
  <c r="E39" i="5" l="1"/>
  <c r="K46" i="5" s="1"/>
  <c r="G7" i="5"/>
  <c r="F7" i="5"/>
  <c r="E7" i="5"/>
  <c r="F81" i="5"/>
  <c r="G81" i="5"/>
  <c r="E81" i="5"/>
  <c r="K57" i="5"/>
  <c r="K65" i="5" s="1"/>
  <c r="L57" i="5"/>
  <c r="M56" i="5" l="1"/>
  <c r="L65" i="5"/>
  <c r="M55" i="5"/>
  <c r="M65" i="5" s="1"/>
  <c r="L47" i="5"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44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bk>
      <extLst>
        <ext uri="{3e2802c4-a4d2-4d8b-9148-e3be6c30e623}">
          <xlrd:rvb i="101"/>
        </ext>
      </extLst>
    </bk>
    <bk>
      <extLst>
        <ext uri="{3e2802c4-a4d2-4d8b-9148-e3be6c30e623}">
          <xlrd:rvb i="102"/>
        </ext>
      </extLst>
    </bk>
    <bk>
      <extLst>
        <ext uri="{3e2802c4-a4d2-4d8b-9148-e3be6c30e623}">
          <xlrd:rvb i="103"/>
        </ext>
      </extLst>
    </bk>
    <bk>
      <extLst>
        <ext uri="{3e2802c4-a4d2-4d8b-9148-e3be6c30e623}">
          <xlrd:rvb i="104"/>
        </ext>
      </extLst>
    </bk>
    <bk>
      <extLst>
        <ext uri="{3e2802c4-a4d2-4d8b-9148-e3be6c30e623}">
          <xlrd:rvb i="105"/>
        </ext>
      </extLst>
    </bk>
    <bk>
      <extLst>
        <ext uri="{3e2802c4-a4d2-4d8b-9148-e3be6c30e623}">
          <xlrd:rvb i="106"/>
        </ext>
      </extLst>
    </bk>
    <bk>
      <extLst>
        <ext uri="{3e2802c4-a4d2-4d8b-9148-e3be6c30e623}">
          <xlrd:rvb i="107"/>
        </ext>
      </extLst>
    </bk>
    <bk>
      <extLst>
        <ext uri="{3e2802c4-a4d2-4d8b-9148-e3be6c30e623}">
          <xlrd:rvb i="108"/>
        </ext>
      </extLst>
    </bk>
    <bk>
      <extLst>
        <ext uri="{3e2802c4-a4d2-4d8b-9148-e3be6c30e623}">
          <xlrd:rvb i="109"/>
        </ext>
      </extLst>
    </bk>
    <bk>
      <extLst>
        <ext uri="{3e2802c4-a4d2-4d8b-9148-e3be6c30e623}">
          <xlrd:rvb i="110"/>
        </ext>
      </extLst>
    </bk>
    <bk>
      <extLst>
        <ext uri="{3e2802c4-a4d2-4d8b-9148-e3be6c30e623}">
          <xlrd:rvb i="111"/>
        </ext>
      </extLst>
    </bk>
    <bk>
      <extLst>
        <ext uri="{3e2802c4-a4d2-4d8b-9148-e3be6c30e623}">
          <xlrd:rvb i="112"/>
        </ext>
      </extLst>
    </bk>
    <bk>
      <extLst>
        <ext uri="{3e2802c4-a4d2-4d8b-9148-e3be6c30e623}">
          <xlrd:rvb i="113"/>
        </ext>
      </extLst>
    </bk>
    <bk>
      <extLst>
        <ext uri="{3e2802c4-a4d2-4d8b-9148-e3be6c30e623}">
          <xlrd:rvb i="114"/>
        </ext>
      </extLst>
    </bk>
    <bk>
      <extLst>
        <ext uri="{3e2802c4-a4d2-4d8b-9148-e3be6c30e623}">
          <xlrd:rvb i="115"/>
        </ext>
      </extLst>
    </bk>
    <bk>
      <extLst>
        <ext uri="{3e2802c4-a4d2-4d8b-9148-e3be6c30e623}">
          <xlrd:rvb i="116"/>
        </ext>
      </extLst>
    </bk>
    <bk>
      <extLst>
        <ext uri="{3e2802c4-a4d2-4d8b-9148-e3be6c30e623}">
          <xlrd:rvb i="117"/>
        </ext>
      </extLst>
    </bk>
    <bk>
      <extLst>
        <ext uri="{3e2802c4-a4d2-4d8b-9148-e3be6c30e623}">
          <xlrd:rvb i="118"/>
        </ext>
      </extLst>
    </bk>
    <bk>
      <extLst>
        <ext uri="{3e2802c4-a4d2-4d8b-9148-e3be6c30e623}">
          <xlrd:rvb i="119"/>
        </ext>
      </extLst>
    </bk>
    <bk>
      <extLst>
        <ext uri="{3e2802c4-a4d2-4d8b-9148-e3be6c30e623}">
          <xlrd:rvb i="120"/>
        </ext>
      </extLst>
    </bk>
    <bk>
      <extLst>
        <ext uri="{3e2802c4-a4d2-4d8b-9148-e3be6c30e623}">
          <xlrd:rvb i="121"/>
        </ext>
      </extLst>
    </bk>
    <bk>
      <extLst>
        <ext uri="{3e2802c4-a4d2-4d8b-9148-e3be6c30e623}">
          <xlrd:rvb i="122"/>
        </ext>
      </extLst>
    </bk>
    <bk>
      <extLst>
        <ext uri="{3e2802c4-a4d2-4d8b-9148-e3be6c30e623}">
          <xlrd:rvb i="123"/>
        </ext>
      </extLst>
    </bk>
    <bk>
      <extLst>
        <ext uri="{3e2802c4-a4d2-4d8b-9148-e3be6c30e623}">
          <xlrd:rvb i="124"/>
        </ext>
      </extLst>
    </bk>
    <bk>
      <extLst>
        <ext uri="{3e2802c4-a4d2-4d8b-9148-e3be6c30e623}">
          <xlrd:rvb i="125"/>
        </ext>
      </extLst>
    </bk>
    <bk>
      <extLst>
        <ext uri="{3e2802c4-a4d2-4d8b-9148-e3be6c30e623}">
          <xlrd:rvb i="126"/>
        </ext>
      </extLst>
    </bk>
    <bk>
      <extLst>
        <ext uri="{3e2802c4-a4d2-4d8b-9148-e3be6c30e623}">
          <xlrd:rvb i="127"/>
        </ext>
      </extLst>
    </bk>
    <bk>
      <extLst>
        <ext uri="{3e2802c4-a4d2-4d8b-9148-e3be6c30e623}">
          <xlrd:rvb i="128"/>
        </ext>
      </extLst>
    </bk>
    <bk>
      <extLst>
        <ext uri="{3e2802c4-a4d2-4d8b-9148-e3be6c30e623}">
          <xlrd:rvb i="129"/>
        </ext>
      </extLst>
    </bk>
    <bk>
      <extLst>
        <ext uri="{3e2802c4-a4d2-4d8b-9148-e3be6c30e623}">
          <xlrd:rvb i="130"/>
        </ext>
      </extLst>
    </bk>
    <bk>
      <extLst>
        <ext uri="{3e2802c4-a4d2-4d8b-9148-e3be6c30e623}">
          <xlrd:rvb i="131"/>
        </ext>
      </extLst>
    </bk>
    <bk>
      <extLst>
        <ext uri="{3e2802c4-a4d2-4d8b-9148-e3be6c30e623}">
          <xlrd:rvb i="132"/>
        </ext>
      </extLst>
    </bk>
    <bk>
      <extLst>
        <ext uri="{3e2802c4-a4d2-4d8b-9148-e3be6c30e623}">
          <xlrd:rvb i="133"/>
        </ext>
      </extLst>
    </bk>
    <bk>
      <extLst>
        <ext uri="{3e2802c4-a4d2-4d8b-9148-e3be6c30e623}">
          <xlrd:rvb i="134"/>
        </ext>
      </extLst>
    </bk>
    <bk>
      <extLst>
        <ext uri="{3e2802c4-a4d2-4d8b-9148-e3be6c30e623}">
          <xlrd:rvb i="135"/>
        </ext>
      </extLst>
    </bk>
    <bk>
      <extLst>
        <ext uri="{3e2802c4-a4d2-4d8b-9148-e3be6c30e623}">
          <xlrd:rvb i="136"/>
        </ext>
      </extLst>
    </bk>
    <bk>
      <extLst>
        <ext uri="{3e2802c4-a4d2-4d8b-9148-e3be6c30e623}">
          <xlrd:rvb i="137"/>
        </ext>
      </extLst>
    </bk>
    <bk>
      <extLst>
        <ext uri="{3e2802c4-a4d2-4d8b-9148-e3be6c30e623}">
          <xlrd:rvb i="138"/>
        </ext>
      </extLst>
    </bk>
    <bk>
      <extLst>
        <ext uri="{3e2802c4-a4d2-4d8b-9148-e3be6c30e623}">
          <xlrd:rvb i="139"/>
        </ext>
      </extLst>
    </bk>
    <bk>
      <extLst>
        <ext uri="{3e2802c4-a4d2-4d8b-9148-e3be6c30e623}">
          <xlrd:rvb i="140"/>
        </ext>
      </extLst>
    </bk>
    <bk>
      <extLst>
        <ext uri="{3e2802c4-a4d2-4d8b-9148-e3be6c30e623}">
          <xlrd:rvb i="141"/>
        </ext>
      </extLst>
    </bk>
    <bk>
      <extLst>
        <ext uri="{3e2802c4-a4d2-4d8b-9148-e3be6c30e623}">
          <xlrd:rvb i="142"/>
        </ext>
      </extLst>
    </bk>
    <bk>
      <extLst>
        <ext uri="{3e2802c4-a4d2-4d8b-9148-e3be6c30e623}">
          <xlrd:rvb i="143"/>
        </ext>
      </extLst>
    </bk>
    <bk>
      <extLst>
        <ext uri="{3e2802c4-a4d2-4d8b-9148-e3be6c30e623}">
          <xlrd:rvb i="144"/>
        </ext>
      </extLst>
    </bk>
    <bk>
      <extLst>
        <ext uri="{3e2802c4-a4d2-4d8b-9148-e3be6c30e623}">
          <xlrd:rvb i="145"/>
        </ext>
      </extLst>
    </bk>
    <bk>
      <extLst>
        <ext uri="{3e2802c4-a4d2-4d8b-9148-e3be6c30e623}">
          <xlrd:rvb i="146"/>
        </ext>
      </extLst>
    </bk>
    <bk>
      <extLst>
        <ext uri="{3e2802c4-a4d2-4d8b-9148-e3be6c30e623}">
          <xlrd:rvb i="147"/>
        </ext>
      </extLst>
    </bk>
    <bk>
      <extLst>
        <ext uri="{3e2802c4-a4d2-4d8b-9148-e3be6c30e623}">
          <xlrd:rvb i="148"/>
        </ext>
      </extLst>
    </bk>
    <bk>
      <extLst>
        <ext uri="{3e2802c4-a4d2-4d8b-9148-e3be6c30e623}">
          <xlrd:rvb i="149"/>
        </ext>
      </extLst>
    </bk>
    <bk>
      <extLst>
        <ext uri="{3e2802c4-a4d2-4d8b-9148-e3be6c30e623}">
          <xlrd:rvb i="150"/>
        </ext>
      </extLst>
    </bk>
    <bk>
      <extLst>
        <ext uri="{3e2802c4-a4d2-4d8b-9148-e3be6c30e623}">
          <xlrd:rvb i="151"/>
        </ext>
      </extLst>
    </bk>
    <bk>
      <extLst>
        <ext uri="{3e2802c4-a4d2-4d8b-9148-e3be6c30e623}">
          <xlrd:rvb i="152"/>
        </ext>
      </extLst>
    </bk>
    <bk>
      <extLst>
        <ext uri="{3e2802c4-a4d2-4d8b-9148-e3be6c30e623}">
          <xlrd:rvb i="153"/>
        </ext>
      </extLst>
    </bk>
    <bk>
      <extLst>
        <ext uri="{3e2802c4-a4d2-4d8b-9148-e3be6c30e623}">
          <xlrd:rvb i="154"/>
        </ext>
      </extLst>
    </bk>
    <bk>
      <extLst>
        <ext uri="{3e2802c4-a4d2-4d8b-9148-e3be6c30e623}">
          <xlrd:rvb i="155"/>
        </ext>
      </extLst>
    </bk>
    <bk>
      <extLst>
        <ext uri="{3e2802c4-a4d2-4d8b-9148-e3be6c30e623}">
          <xlrd:rvb i="156"/>
        </ext>
      </extLst>
    </bk>
    <bk>
      <extLst>
        <ext uri="{3e2802c4-a4d2-4d8b-9148-e3be6c30e623}">
          <xlrd:rvb i="157"/>
        </ext>
      </extLst>
    </bk>
    <bk>
      <extLst>
        <ext uri="{3e2802c4-a4d2-4d8b-9148-e3be6c30e623}">
          <xlrd:rvb i="158"/>
        </ext>
      </extLst>
    </bk>
    <bk>
      <extLst>
        <ext uri="{3e2802c4-a4d2-4d8b-9148-e3be6c30e623}">
          <xlrd:rvb i="159"/>
        </ext>
      </extLst>
    </bk>
    <bk>
      <extLst>
        <ext uri="{3e2802c4-a4d2-4d8b-9148-e3be6c30e623}">
          <xlrd:rvb i="160"/>
        </ext>
      </extLst>
    </bk>
    <bk>
      <extLst>
        <ext uri="{3e2802c4-a4d2-4d8b-9148-e3be6c30e623}">
          <xlrd:rvb i="161"/>
        </ext>
      </extLst>
    </bk>
    <bk>
      <extLst>
        <ext uri="{3e2802c4-a4d2-4d8b-9148-e3be6c30e623}">
          <xlrd:rvb i="162"/>
        </ext>
      </extLst>
    </bk>
    <bk>
      <extLst>
        <ext uri="{3e2802c4-a4d2-4d8b-9148-e3be6c30e623}">
          <xlrd:rvb i="163"/>
        </ext>
      </extLst>
    </bk>
    <bk>
      <extLst>
        <ext uri="{3e2802c4-a4d2-4d8b-9148-e3be6c30e623}">
          <xlrd:rvb i="164"/>
        </ext>
      </extLst>
    </bk>
    <bk>
      <extLst>
        <ext uri="{3e2802c4-a4d2-4d8b-9148-e3be6c30e623}">
          <xlrd:rvb i="165"/>
        </ext>
      </extLst>
    </bk>
    <bk>
      <extLst>
        <ext uri="{3e2802c4-a4d2-4d8b-9148-e3be6c30e623}">
          <xlrd:rvb i="166"/>
        </ext>
      </extLst>
    </bk>
    <bk>
      <extLst>
        <ext uri="{3e2802c4-a4d2-4d8b-9148-e3be6c30e623}">
          <xlrd:rvb i="167"/>
        </ext>
      </extLst>
    </bk>
    <bk>
      <extLst>
        <ext uri="{3e2802c4-a4d2-4d8b-9148-e3be6c30e623}">
          <xlrd:rvb i="168"/>
        </ext>
      </extLst>
    </bk>
    <bk>
      <extLst>
        <ext uri="{3e2802c4-a4d2-4d8b-9148-e3be6c30e623}">
          <xlrd:rvb i="169"/>
        </ext>
      </extLst>
    </bk>
    <bk>
      <extLst>
        <ext uri="{3e2802c4-a4d2-4d8b-9148-e3be6c30e623}">
          <xlrd:rvb i="170"/>
        </ext>
      </extLst>
    </bk>
    <bk>
      <extLst>
        <ext uri="{3e2802c4-a4d2-4d8b-9148-e3be6c30e623}">
          <xlrd:rvb i="171"/>
        </ext>
      </extLst>
    </bk>
    <bk>
      <extLst>
        <ext uri="{3e2802c4-a4d2-4d8b-9148-e3be6c30e623}">
          <xlrd:rvb i="172"/>
        </ext>
      </extLst>
    </bk>
    <bk>
      <extLst>
        <ext uri="{3e2802c4-a4d2-4d8b-9148-e3be6c30e623}">
          <xlrd:rvb i="173"/>
        </ext>
      </extLst>
    </bk>
    <bk>
      <extLst>
        <ext uri="{3e2802c4-a4d2-4d8b-9148-e3be6c30e623}">
          <xlrd:rvb i="174"/>
        </ext>
      </extLst>
    </bk>
    <bk>
      <extLst>
        <ext uri="{3e2802c4-a4d2-4d8b-9148-e3be6c30e623}">
          <xlrd:rvb i="175"/>
        </ext>
      </extLst>
    </bk>
    <bk>
      <extLst>
        <ext uri="{3e2802c4-a4d2-4d8b-9148-e3be6c30e623}">
          <xlrd:rvb i="176"/>
        </ext>
      </extLst>
    </bk>
    <bk>
      <extLst>
        <ext uri="{3e2802c4-a4d2-4d8b-9148-e3be6c30e623}">
          <xlrd:rvb i="177"/>
        </ext>
      </extLst>
    </bk>
    <bk>
      <extLst>
        <ext uri="{3e2802c4-a4d2-4d8b-9148-e3be6c30e623}">
          <xlrd:rvb i="178"/>
        </ext>
      </extLst>
    </bk>
    <bk>
      <extLst>
        <ext uri="{3e2802c4-a4d2-4d8b-9148-e3be6c30e623}">
          <xlrd:rvb i="179"/>
        </ext>
      </extLst>
    </bk>
    <bk>
      <extLst>
        <ext uri="{3e2802c4-a4d2-4d8b-9148-e3be6c30e623}">
          <xlrd:rvb i="180"/>
        </ext>
      </extLst>
    </bk>
    <bk>
      <extLst>
        <ext uri="{3e2802c4-a4d2-4d8b-9148-e3be6c30e623}">
          <xlrd:rvb i="181"/>
        </ext>
      </extLst>
    </bk>
    <bk>
      <extLst>
        <ext uri="{3e2802c4-a4d2-4d8b-9148-e3be6c30e623}">
          <xlrd:rvb i="182"/>
        </ext>
      </extLst>
    </bk>
    <bk>
      <extLst>
        <ext uri="{3e2802c4-a4d2-4d8b-9148-e3be6c30e623}">
          <xlrd:rvb i="183"/>
        </ext>
      </extLst>
    </bk>
    <bk>
      <extLst>
        <ext uri="{3e2802c4-a4d2-4d8b-9148-e3be6c30e623}">
          <xlrd:rvb i="184"/>
        </ext>
      </extLst>
    </bk>
    <bk>
      <extLst>
        <ext uri="{3e2802c4-a4d2-4d8b-9148-e3be6c30e623}">
          <xlrd:rvb i="185"/>
        </ext>
      </extLst>
    </bk>
    <bk>
      <extLst>
        <ext uri="{3e2802c4-a4d2-4d8b-9148-e3be6c30e623}">
          <xlrd:rvb i="186"/>
        </ext>
      </extLst>
    </bk>
    <bk>
      <extLst>
        <ext uri="{3e2802c4-a4d2-4d8b-9148-e3be6c30e623}">
          <xlrd:rvb i="187"/>
        </ext>
      </extLst>
    </bk>
    <bk>
      <extLst>
        <ext uri="{3e2802c4-a4d2-4d8b-9148-e3be6c30e623}">
          <xlrd:rvb i="188"/>
        </ext>
      </extLst>
    </bk>
    <bk>
      <extLst>
        <ext uri="{3e2802c4-a4d2-4d8b-9148-e3be6c30e623}">
          <xlrd:rvb i="189"/>
        </ext>
      </extLst>
    </bk>
    <bk>
      <extLst>
        <ext uri="{3e2802c4-a4d2-4d8b-9148-e3be6c30e623}">
          <xlrd:rvb i="190"/>
        </ext>
      </extLst>
    </bk>
    <bk>
      <extLst>
        <ext uri="{3e2802c4-a4d2-4d8b-9148-e3be6c30e623}">
          <xlrd:rvb i="191"/>
        </ext>
      </extLst>
    </bk>
    <bk>
      <extLst>
        <ext uri="{3e2802c4-a4d2-4d8b-9148-e3be6c30e623}">
          <xlrd:rvb i="192"/>
        </ext>
      </extLst>
    </bk>
    <bk>
      <extLst>
        <ext uri="{3e2802c4-a4d2-4d8b-9148-e3be6c30e623}">
          <xlrd:rvb i="193"/>
        </ext>
      </extLst>
    </bk>
    <bk>
      <extLst>
        <ext uri="{3e2802c4-a4d2-4d8b-9148-e3be6c30e623}">
          <xlrd:rvb i="194"/>
        </ext>
      </extLst>
    </bk>
    <bk>
      <extLst>
        <ext uri="{3e2802c4-a4d2-4d8b-9148-e3be6c30e623}">
          <xlrd:rvb i="195"/>
        </ext>
      </extLst>
    </bk>
    <bk>
      <extLst>
        <ext uri="{3e2802c4-a4d2-4d8b-9148-e3be6c30e623}">
          <xlrd:rvb i="196"/>
        </ext>
      </extLst>
    </bk>
    <bk>
      <extLst>
        <ext uri="{3e2802c4-a4d2-4d8b-9148-e3be6c30e623}">
          <xlrd:rvb i="197"/>
        </ext>
      </extLst>
    </bk>
    <bk>
      <extLst>
        <ext uri="{3e2802c4-a4d2-4d8b-9148-e3be6c30e623}">
          <xlrd:rvb i="198"/>
        </ext>
      </extLst>
    </bk>
    <bk>
      <extLst>
        <ext uri="{3e2802c4-a4d2-4d8b-9148-e3be6c30e623}">
          <xlrd:rvb i="199"/>
        </ext>
      </extLst>
    </bk>
    <bk>
      <extLst>
        <ext uri="{3e2802c4-a4d2-4d8b-9148-e3be6c30e623}">
          <xlrd:rvb i="200"/>
        </ext>
      </extLst>
    </bk>
    <bk>
      <extLst>
        <ext uri="{3e2802c4-a4d2-4d8b-9148-e3be6c30e623}">
          <xlrd:rvb i="201"/>
        </ext>
      </extLst>
    </bk>
    <bk>
      <extLst>
        <ext uri="{3e2802c4-a4d2-4d8b-9148-e3be6c30e623}">
          <xlrd:rvb i="202"/>
        </ext>
      </extLst>
    </bk>
    <bk>
      <extLst>
        <ext uri="{3e2802c4-a4d2-4d8b-9148-e3be6c30e623}">
          <xlrd:rvb i="203"/>
        </ext>
      </extLst>
    </bk>
    <bk>
      <extLst>
        <ext uri="{3e2802c4-a4d2-4d8b-9148-e3be6c30e623}">
          <xlrd:rvb i="204"/>
        </ext>
      </extLst>
    </bk>
    <bk>
      <extLst>
        <ext uri="{3e2802c4-a4d2-4d8b-9148-e3be6c30e623}">
          <xlrd:rvb i="205"/>
        </ext>
      </extLst>
    </bk>
    <bk>
      <extLst>
        <ext uri="{3e2802c4-a4d2-4d8b-9148-e3be6c30e623}">
          <xlrd:rvb i="206"/>
        </ext>
      </extLst>
    </bk>
    <bk>
      <extLst>
        <ext uri="{3e2802c4-a4d2-4d8b-9148-e3be6c30e623}">
          <xlrd:rvb i="207"/>
        </ext>
      </extLst>
    </bk>
    <bk>
      <extLst>
        <ext uri="{3e2802c4-a4d2-4d8b-9148-e3be6c30e623}">
          <xlrd:rvb i="208"/>
        </ext>
      </extLst>
    </bk>
    <bk>
      <extLst>
        <ext uri="{3e2802c4-a4d2-4d8b-9148-e3be6c30e623}">
          <xlrd:rvb i="209"/>
        </ext>
      </extLst>
    </bk>
    <bk>
      <extLst>
        <ext uri="{3e2802c4-a4d2-4d8b-9148-e3be6c30e623}">
          <xlrd:rvb i="210"/>
        </ext>
      </extLst>
    </bk>
    <bk>
      <extLst>
        <ext uri="{3e2802c4-a4d2-4d8b-9148-e3be6c30e623}">
          <xlrd:rvb i="211"/>
        </ext>
      </extLst>
    </bk>
    <bk>
      <extLst>
        <ext uri="{3e2802c4-a4d2-4d8b-9148-e3be6c30e623}">
          <xlrd:rvb i="212"/>
        </ext>
      </extLst>
    </bk>
    <bk>
      <extLst>
        <ext uri="{3e2802c4-a4d2-4d8b-9148-e3be6c30e623}">
          <xlrd:rvb i="213"/>
        </ext>
      </extLst>
    </bk>
    <bk>
      <extLst>
        <ext uri="{3e2802c4-a4d2-4d8b-9148-e3be6c30e623}">
          <xlrd:rvb i="214"/>
        </ext>
      </extLst>
    </bk>
    <bk>
      <extLst>
        <ext uri="{3e2802c4-a4d2-4d8b-9148-e3be6c30e623}">
          <xlrd:rvb i="215"/>
        </ext>
      </extLst>
    </bk>
    <bk>
      <extLst>
        <ext uri="{3e2802c4-a4d2-4d8b-9148-e3be6c30e623}">
          <xlrd:rvb i="216"/>
        </ext>
      </extLst>
    </bk>
    <bk>
      <extLst>
        <ext uri="{3e2802c4-a4d2-4d8b-9148-e3be6c30e623}">
          <xlrd:rvb i="217"/>
        </ext>
      </extLst>
    </bk>
    <bk>
      <extLst>
        <ext uri="{3e2802c4-a4d2-4d8b-9148-e3be6c30e623}">
          <xlrd:rvb i="218"/>
        </ext>
      </extLst>
    </bk>
    <bk>
      <extLst>
        <ext uri="{3e2802c4-a4d2-4d8b-9148-e3be6c30e623}">
          <xlrd:rvb i="219"/>
        </ext>
      </extLst>
    </bk>
    <bk>
      <extLst>
        <ext uri="{3e2802c4-a4d2-4d8b-9148-e3be6c30e623}">
          <xlrd:rvb i="220"/>
        </ext>
      </extLst>
    </bk>
    <bk>
      <extLst>
        <ext uri="{3e2802c4-a4d2-4d8b-9148-e3be6c30e623}">
          <xlrd:rvb i="221"/>
        </ext>
      </extLst>
    </bk>
    <bk>
      <extLst>
        <ext uri="{3e2802c4-a4d2-4d8b-9148-e3be6c30e623}">
          <xlrd:rvb i="222"/>
        </ext>
      </extLst>
    </bk>
    <bk>
      <extLst>
        <ext uri="{3e2802c4-a4d2-4d8b-9148-e3be6c30e623}">
          <xlrd:rvb i="223"/>
        </ext>
      </extLst>
    </bk>
    <bk>
      <extLst>
        <ext uri="{3e2802c4-a4d2-4d8b-9148-e3be6c30e623}">
          <xlrd:rvb i="224"/>
        </ext>
      </extLst>
    </bk>
    <bk>
      <extLst>
        <ext uri="{3e2802c4-a4d2-4d8b-9148-e3be6c30e623}">
          <xlrd:rvb i="225"/>
        </ext>
      </extLst>
    </bk>
    <bk>
      <extLst>
        <ext uri="{3e2802c4-a4d2-4d8b-9148-e3be6c30e623}">
          <xlrd:rvb i="226"/>
        </ext>
      </extLst>
    </bk>
    <bk>
      <extLst>
        <ext uri="{3e2802c4-a4d2-4d8b-9148-e3be6c30e623}">
          <xlrd:rvb i="227"/>
        </ext>
      </extLst>
    </bk>
    <bk>
      <extLst>
        <ext uri="{3e2802c4-a4d2-4d8b-9148-e3be6c30e623}">
          <xlrd:rvb i="228"/>
        </ext>
      </extLst>
    </bk>
    <bk>
      <extLst>
        <ext uri="{3e2802c4-a4d2-4d8b-9148-e3be6c30e623}">
          <xlrd:rvb i="229"/>
        </ext>
      </extLst>
    </bk>
    <bk>
      <extLst>
        <ext uri="{3e2802c4-a4d2-4d8b-9148-e3be6c30e623}">
          <xlrd:rvb i="230"/>
        </ext>
      </extLst>
    </bk>
    <bk>
      <extLst>
        <ext uri="{3e2802c4-a4d2-4d8b-9148-e3be6c30e623}">
          <xlrd:rvb i="231"/>
        </ext>
      </extLst>
    </bk>
    <bk>
      <extLst>
        <ext uri="{3e2802c4-a4d2-4d8b-9148-e3be6c30e623}">
          <xlrd:rvb i="232"/>
        </ext>
      </extLst>
    </bk>
    <bk>
      <extLst>
        <ext uri="{3e2802c4-a4d2-4d8b-9148-e3be6c30e623}">
          <xlrd:rvb i="233"/>
        </ext>
      </extLst>
    </bk>
    <bk>
      <extLst>
        <ext uri="{3e2802c4-a4d2-4d8b-9148-e3be6c30e623}">
          <xlrd:rvb i="234"/>
        </ext>
      </extLst>
    </bk>
    <bk>
      <extLst>
        <ext uri="{3e2802c4-a4d2-4d8b-9148-e3be6c30e623}">
          <xlrd:rvb i="235"/>
        </ext>
      </extLst>
    </bk>
    <bk>
      <extLst>
        <ext uri="{3e2802c4-a4d2-4d8b-9148-e3be6c30e623}">
          <xlrd:rvb i="236"/>
        </ext>
      </extLst>
    </bk>
    <bk>
      <extLst>
        <ext uri="{3e2802c4-a4d2-4d8b-9148-e3be6c30e623}">
          <xlrd:rvb i="237"/>
        </ext>
      </extLst>
    </bk>
    <bk>
      <extLst>
        <ext uri="{3e2802c4-a4d2-4d8b-9148-e3be6c30e623}">
          <xlrd:rvb i="238"/>
        </ext>
      </extLst>
    </bk>
    <bk>
      <extLst>
        <ext uri="{3e2802c4-a4d2-4d8b-9148-e3be6c30e623}">
          <xlrd:rvb i="239"/>
        </ext>
      </extLst>
    </bk>
    <bk>
      <extLst>
        <ext uri="{3e2802c4-a4d2-4d8b-9148-e3be6c30e623}">
          <xlrd:rvb i="240"/>
        </ext>
      </extLst>
    </bk>
    <bk>
      <extLst>
        <ext uri="{3e2802c4-a4d2-4d8b-9148-e3be6c30e623}">
          <xlrd:rvb i="241"/>
        </ext>
      </extLst>
    </bk>
    <bk>
      <extLst>
        <ext uri="{3e2802c4-a4d2-4d8b-9148-e3be6c30e623}">
          <xlrd:rvb i="242"/>
        </ext>
      </extLst>
    </bk>
    <bk>
      <extLst>
        <ext uri="{3e2802c4-a4d2-4d8b-9148-e3be6c30e623}">
          <xlrd:rvb i="243"/>
        </ext>
      </extLst>
    </bk>
    <bk>
      <extLst>
        <ext uri="{3e2802c4-a4d2-4d8b-9148-e3be6c30e623}">
          <xlrd:rvb i="244"/>
        </ext>
      </extLst>
    </bk>
    <bk>
      <extLst>
        <ext uri="{3e2802c4-a4d2-4d8b-9148-e3be6c30e623}">
          <xlrd:rvb i="245"/>
        </ext>
      </extLst>
    </bk>
    <bk>
      <extLst>
        <ext uri="{3e2802c4-a4d2-4d8b-9148-e3be6c30e623}">
          <xlrd:rvb i="246"/>
        </ext>
      </extLst>
    </bk>
    <bk>
      <extLst>
        <ext uri="{3e2802c4-a4d2-4d8b-9148-e3be6c30e623}">
          <xlrd:rvb i="247"/>
        </ext>
      </extLst>
    </bk>
    <bk>
      <extLst>
        <ext uri="{3e2802c4-a4d2-4d8b-9148-e3be6c30e623}">
          <xlrd:rvb i="248"/>
        </ext>
      </extLst>
    </bk>
    <bk>
      <extLst>
        <ext uri="{3e2802c4-a4d2-4d8b-9148-e3be6c30e623}">
          <xlrd:rvb i="249"/>
        </ext>
      </extLst>
    </bk>
    <bk>
      <extLst>
        <ext uri="{3e2802c4-a4d2-4d8b-9148-e3be6c30e623}">
          <xlrd:rvb i="250"/>
        </ext>
      </extLst>
    </bk>
    <bk>
      <extLst>
        <ext uri="{3e2802c4-a4d2-4d8b-9148-e3be6c30e623}">
          <xlrd:rvb i="251"/>
        </ext>
      </extLst>
    </bk>
    <bk>
      <extLst>
        <ext uri="{3e2802c4-a4d2-4d8b-9148-e3be6c30e623}">
          <xlrd:rvb i="252"/>
        </ext>
      </extLst>
    </bk>
    <bk>
      <extLst>
        <ext uri="{3e2802c4-a4d2-4d8b-9148-e3be6c30e623}">
          <xlrd:rvb i="253"/>
        </ext>
      </extLst>
    </bk>
    <bk>
      <extLst>
        <ext uri="{3e2802c4-a4d2-4d8b-9148-e3be6c30e623}">
          <xlrd:rvb i="254"/>
        </ext>
      </extLst>
    </bk>
    <bk>
      <extLst>
        <ext uri="{3e2802c4-a4d2-4d8b-9148-e3be6c30e623}">
          <xlrd:rvb i="255"/>
        </ext>
      </extLst>
    </bk>
    <bk>
      <extLst>
        <ext uri="{3e2802c4-a4d2-4d8b-9148-e3be6c30e623}">
          <xlrd:rvb i="256"/>
        </ext>
      </extLst>
    </bk>
    <bk>
      <extLst>
        <ext uri="{3e2802c4-a4d2-4d8b-9148-e3be6c30e623}">
          <xlrd:rvb i="257"/>
        </ext>
      </extLst>
    </bk>
    <bk>
      <extLst>
        <ext uri="{3e2802c4-a4d2-4d8b-9148-e3be6c30e623}">
          <xlrd:rvb i="258"/>
        </ext>
      </extLst>
    </bk>
    <bk>
      <extLst>
        <ext uri="{3e2802c4-a4d2-4d8b-9148-e3be6c30e623}">
          <xlrd:rvb i="259"/>
        </ext>
      </extLst>
    </bk>
    <bk>
      <extLst>
        <ext uri="{3e2802c4-a4d2-4d8b-9148-e3be6c30e623}">
          <xlrd:rvb i="260"/>
        </ext>
      </extLst>
    </bk>
    <bk>
      <extLst>
        <ext uri="{3e2802c4-a4d2-4d8b-9148-e3be6c30e623}">
          <xlrd:rvb i="261"/>
        </ext>
      </extLst>
    </bk>
    <bk>
      <extLst>
        <ext uri="{3e2802c4-a4d2-4d8b-9148-e3be6c30e623}">
          <xlrd:rvb i="262"/>
        </ext>
      </extLst>
    </bk>
    <bk>
      <extLst>
        <ext uri="{3e2802c4-a4d2-4d8b-9148-e3be6c30e623}">
          <xlrd:rvb i="263"/>
        </ext>
      </extLst>
    </bk>
    <bk>
      <extLst>
        <ext uri="{3e2802c4-a4d2-4d8b-9148-e3be6c30e623}">
          <xlrd:rvb i="264"/>
        </ext>
      </extLst>
    </bk>
    <bk>
      <extLst>
        <ext uri="{3e2802c4-a4d2-4d8b-9148-e3be6c30e623}">
          <xlrd:rvb i="265"/>
        </ext>
      </extLst>
    </bk>
    <bk>
      <extLst>
        <ext uri="{3e2802c4-a4d2-4d8b-9148-e3be6c30e623}">
          <xlrd:rvb i="266"/>
        </ext>
      </extLst>
    </bk>
    <bk>
      <extLst>
        <ext uri="{3e2802c4-a4d2-4d8b-9148-e3be6c30e623}">
          <xlrd:rvb i="267"/>
        </ext>
      </extLst>
    </bk>
    <bk>
      <extLst>
        <ext uri="{3e2802c4-a4d2-4d8b-9148-e3be6c30e623}">
          <xlrd:rvb i="268"/>
        </ext>
      </extLst>
    </bk>
    <bk>
      <extLst>
        <ext uri="{3e2802c4-a4d2-4d8b-9148-e3be6c30e623}">
          <xlrd:rvb i="269"/>
        </ext>
      </extLst>
    </bk>
    <bk>
      <extLst>
        <ext uri="{3e2802c4-a4d2-4d8b-9148-e3be6c30e623}">
          <xlrd:rvb i="270"/>
        </ext>
      </extLst>
    </bk>
    <bk>
      <extLst>
        <ext uri="{3e2802c4-a4d2-4d8b-9148-e3be6c30e623}">
          <xlrd:rvb i="271"/>
        </ext>
      </extLst>
    </bk>
    <bk>
      <extLst>
        <ext uri="{3e2802c4-a4d2-4d8b-9148-e3be6c30e623}">
          <xlrd:rvb i="272"/>
        </ext>
      </extLst>
    </bk>
    <bk>
      <extLst>
        <ext uri="{3e2802c4-a4d2-4d8b-9148-e3be6c30e623}">
          <xlrd:rvb i="273"/>
        </ext>
      </extLst>
    </bk>
    <bk>
      <extLst>
        <ext uri="{3e2802c4-a4d2-4d8b-9148-e3be6c30e623}">
          <xlrd:rvb i="274"/>
        </ext>
      </extLst>
    </bk>
    <bk>
      <extLst>
        <ext uri="{3e2802c4-a4d2-4d8b-9148-e3be6c30e623}">
          <xlrd:rvb i="275"/>
        </ext>
      </extLst>
    </bk>
    <bk>
      <extLst>
        <ext uri="{3e2802c4-a4d2-4d8b-9148-e3be6c30e623}">
          <xlrd:rvb i="276"/>
        </ext>
      </extLst>
    </bk>
    <bk>
      <extLst>
        <ext uri="{3e2802c4-a4d2-4d8b-9148-e3be6c30e623}">
          <xlrd:rvb i="277"/>
        </ext>
      </extLst>
    </bk>
    <bk>
      <extLst>
        <ext uri="{3e2802c4-a4d2-4d8b-9148-e3be6c30e623}">
          <xlrd:rvb i="278"/>
        </ext>
      </extLst>
    </bk>
    <bk>
      <extLst>
        <ext uri="{3e2802c4-a4d2-4d8b-9148-e3be6c30e623}">
          <xlrd:rvb i="279"/>
        </ext>
      </extLst>
    </bk>
    <bk>
      <extLst>
        <ext uri="{3e2802c4-a4d2-4d8b-9148-e3be6c30e623}">
          <xlrd:rvb i="280"/>
        </ext>
      </extLst>
    </bk>
    <bk>
      <extLst>
        <ext uri="{3e2802c4-a4d2-4d8b-9148-e3be6c30e623}">
          <xlrd:rvb i="281"/>
        </ext>
      </extLst>
    </bk>
    <bk>
      <extLst>
        <ext uri="{3e2802c4-a4d2-4d8b-9148-e3be6c30e623}">
          <xlrd:rvb i="282"/>
        </ext>
      </extLst>
    </bk>
    <bk>
      <extLst>
        <ext uri="{3e2802c4-a4d2-4d8b-9148-e3be6c30e623}">
          <xlrd:rvb i="283"/>
        </ext>
      </extLst>
    </bk>
    <bk>
      <extLst>
        <ext uri="{3e2802c4-a4d2-4d8b-9148-e3be6c30e623}">
          <xlrd:rvb i="284"/>
        </ext>
      </extLst>
    </bk>
    <bk>
      <extLst>
        <ext uri="{3e2802c4-a4d2-4d8b-9148-e3be6c30e623}">
          <xlrd:rvb i="285"/>
        </ext>
      </extLst>
    </bk>
    <bk>
      <extLst>
        <ext uri="{3e2802c4-a4d2-4d8b-9148-e3be6c30e623}">
          <xlrd:rvb i="286"/>
        </ext>
      </extLst>
    </bk>
    <bk>
      <extLst>
        <ext uri="{3e2802c4-a4d2-4d8b-9148-e3be6c30e623}">
          <xlrd:rvb i="287"/>
        </ext>
      </extLst>
    </bk>
    <bk>
      <extLst>
        <ext uri="{3e2802c4-a4d2-4d8b-9148-e3be6c30e623}">
          <xlrd:rvb i="288"/>
        </ext>
      </extLst>
    </bk>
    <bk>
      <extLst>
        <ext uri="{3e2802c4-a4d2-4d8b-9148-e3be6c30e623}">
          <xlrd:rvb i="289"/>
        </ext>
      </extLst>
    </bk>
    <bk>
      <extLst>
        <ext uri="{3e2802c4-a4d2-4d8b-9148-e3be6c30e623}">
          <xlrd:rvb i="290"/>
        </ext>
      </extLst>
    </bk>
    <bk>
      <extLst>
        <ext uri="{3e2802c4-a4d2-4d8b-9148-e3be6c30e623}">
          <xlrd:rvb i="291"/>
        </ext>
      </extLst>
    </bk>
    <bk>
      <extLst>
        <ext uri="{3e2802c4-a4d2-4d8b-9148-e3be6c30e623}">
          <xlrd:rvb i="292"/>
        </ext>
      </extLst>
    </bk>
    <bk>
      <extLst>
        <ext uri="{3e2802c4-a4d2-4d8b-9148-e3be6c30e623}">
          <xlrd:rvb i="293"/>
        </ext>
      </extLst>
    </bk>
    <bk>
      <extLst>
        <ext uri="{3e2802c4-a4d2-4d8b-9148-e3be6c30e623}">
          <xlrd:rvb i="294"/>
        </ext>
      </extLst>
    </bk>
    <bk>
      <extLst>
        <ext uri="{3e2802c4-a4d2-4d8b-9148-e3be6c30e623}">
          <xlrd:rvb i="295"/>
        </ext>
      </extLst>
    </bk>
    <bk>
      <extLst>
        <ext uri="{3e2802c4-a4d2-4d8b-9148-e3be6c30e623}">
          <xlrd:rvb i="296"/>
        </ext>
      </extLst>
    </bk>
    <bk>
      <extLst>
        <ext uri="{3e2802c4-a4d2-4d8b-9148-e3be6c30e623}">
          <xlrd:rvb i="297"/>
        </ext>
      </extLst>
    </bk>
    <bk>
      <extLst>
        <ext uri="{3e2802c4-a4d2-4d8b-9148-e3be6c30e623}">
          <xlrd:rvb i="298"/>
        </ext>
      </extLst>
    </bk>
    <bk>
      <extLst>
        <ext uri="{3e2802c4-a4d2-4d8b-9148-e3be6c30e623}">
          <xlrd:rvb i="299"/>
        </ext>
      </extLst>
    </bk>
    <bk>
      <extLst>
        <ext uri="{3e2802c4-a4d2-4d8b-9148-e3be6c30e623}">
          <xlrd:rvb i="300"/>
        </ext>
      </extLst>
    </bk>
    <bk>
      <extLst>
        <ext uri="{3e2802c4-a4d2-4d8b-9148-e3be6c30e623}">
          <xlrd:rvb i="301"/>
        </ext>
      </extLst>
    </bk>
    <bk>
      <extLst>
        <ext uri="{3e2802c4-a4d2-4d8b-9148-e3be6c30e623}">
          <xlrd:rvb i="302"/>
        </ext>
      </extLst>
    </bk>
    <bk>
      <extLst>
        <ext uri="{3e2802c4-a4d2-4d8b-9148-e3be6c30e623}">
          <xlrd:rvb i="303"/>
        </ext>
      </extLst>
    </bk>
    <bk>
      <extLst>
        <ext uri="{3e2802c4-a4d2-4d8b-9148-e3be6c30e623}">
          <xlrd:rvb i="304"/>
        </ext>
      </extLst>
    </bk>
    <bk>
      <extLst>
        <ext uri="{3e2802c4-a4d2-4d8b-9148-e3be6c30e623}">
          <xlrd:rvb i="305"/>
        </ext>
      </extLst>
    </bk>
    <bk>
      <extLst>
        <ext uri="{3e2802c4-a4d2-4d8b-9148-e3be6c30e623}">
          <xlrd:rvb i="306"/>
        </ext>
      </extLst>
    </bk>
    <bk>
      <extLst>
        <ext uri="{3e2802c4-a4d2-4d8b-9148-e3be6c30e623}">
          <xlrd:rvb i="307"/>
        </ext>
      </extLst>
    </bk>
    <bk>
      <extLst>
        <ext uri="{3e2802c4-a4d2-4d8b-9148-e3be6c30e623}">
          <xlrd:rvb i="308"/>
        </ext>
      </extLst>
    </bk>
    <bk>
      <extLst>
        <ext uri="{3e2802c4-a4d2-4d8b-9148-e3be6c30e623}">
          <xlrd:rvb i="309"/>
        </ext>
      </extLst>
    </bk>
    <bk>
      <extLst>
        <ext uri="{3e2802c4-a4d2-4d8b-9148-e3be6c30e623}">
          <xlrd:rvb i="310"/>
        </ext>
      </extLst>
    </bk>
    <bk>
      <extLst>
        <ext uri="{3e2802c4-a4d2-4d8b-9148-e3be6c30e623}">
          <xlrd:rvb i="311"/>
        </ext>
      </extLst>
    </bk>
    <bk>
      <extLst>
        <ext uri="{3e2802c4-a4d2-4d8b-9148-e3be6c30e623}">
          <xlrd:rvb i="312"/>
        </ext>
      </extLst>
    </bk>
    <bk>
      <extLst>
        <ext uri="{3e2802c4-a4d2-4d8b-9148-e3be6c30e623}">
          <xlrd:rvb i="313"/>
        </ext>
      </extLst>
    </bk>
    <bk>
      <extLst>
        <ext uri="{3e2802c4-a4d2-4d8b-9148-e3be6c30e623}">
          <xlrd:rvb i="314"/>
        </ext>
      </extLst>
    </bk>
    <bk>
      <extLst>
        <ext uri="{3e2802c4-a4d2-4d8b-9148-e3be6c30e623}">
          <xlrd:rvb i="315"/>
        </ext>
      </extLst>
    </bk>
    <bk>
      <extLst>
        <ext uri="{3e2802c4-a4d2-4d8b-9148-e3be6c30e623}">
          <xlrd:rvb i="316"/>
        </ext>
      </extLst>
    </bk>
    <bk>
      <extLst>
        <ext uri="{3e2802c4-a4d2-4d8b-9148-e3be6c30e623}">
          <xlrd:rvb i="317"/>
        </ext>
      </extLst>
    </bk>
    <bk>
      <extLst>
        <ext uri="{3e2802c4-a4d2-4d8b-9148-e3be6c30e623}">
          <xlrd:rvb i="318"/>
        </ext>
      </extLst>
    </bk>
    <bk>
      <extLst>
        <ext uri="{3e2802c4-a4d2-4d8b-9148-e3be6c30e623}">
          <xlrd:rvb i="319"/>
        </ext>
      </extLst>
    </bk>
    <bk>
      <extLst>
        <ext uri="{3e2802c4-a4d2-4d8b-9148-e3be6c30e623}">
          <xlrd:rvb i="320"/>
        </ext>
      </extLst>
    </bk>
    <bk>
      <extLst>
        <ext uri="{3e2802c4-a4d2-4d8b-9148-e3be6c30e623}">
          <xlrd:rvb i="321"/>
        </ext>
      </extLst>
    </bk>
    <bk>
      <extLst>
        <ext uri="{3e2802c4-a4d2-4d8b-9148-e3be6c30e623}">
          <xlrd:rvb i="322"/>
        </ext>
      </extLst>
    </bk>
    <bk>
      <extLst>
        <ext uri="{3e2802c4-a4d2-4d8b-9148-e3be6c30e623}">
          <xlrd:rvb i="323"/>
        </ext>
      </extLst>
    </bk>
    <bk>
      <extLst>
        <ext uri="{3e2802c4-a4d2-4d8b-9148-e3be6c30e623}">
          <xlrd:rvb i="324"/>
        </ext>
      </extLst>
    </bk>
    <bk>
      <extLst>
        <ext uri="{3e2802c4-a4d2-4d8b-9148-e3be6c30e623}">
          <xlrd:rvb i="325"/>
        </ext>
      </extLst>
    </bk>
    <bk>
      <extLst>
        <ext uri="{3e2802c4-a4d2-4d8b-9148-e3be6c30e623}">
          <xlrd:rvb i="326"/>
        </ext>
      </extLst>
    </bk>
    <bk>
      <extLst>
        <ext uri="{3e2802c4-a4d2-4d8b-9148-e3be6c30e623}">
          <xlrd:rvb i="327"/>
        </ext>
      </extLst>
    </bk>
    <bk>
      <extLst>
        <ext uri="{3e2802c4-a4d2-4d8b-9148-e3be6c30e623}">
          <xlrd:rvb i="328"/>
        </ext>
      </extLst>
    </bk>
    <bk>
      <extLst>
        <ext uri="{3e2802c4-a4d2-4d8b-9148-e3be6c30e623}">
          <xlrd:rvb i="329"/>
        </ext>
      </extLst>
    </bk>
    <bk>
      <extLst>
        <ext uri="{3e2802c4-a4d2-4d8b-9148-e3be6c30e623}">
          <xlrd:rvb i="330"/>
        </ext>
      </extLst>
    </bk>
    <bk>
      <extLst>
        <ext uri="{3e2802c4-a4d2-4d8b-9148-e3be6c30e623}">
          <xlrd:rvb i="331"/>
        </ext>
      </extLst>
    </bk>
    <bk>
      <extLst>
        <ext uri="{3e2802c4-a4d2-4d8b-9148-e3be6c30e623}">
          <xlrd:rvb i="332"/>
        </ext>
      </extLst>
    </bk>
    <bk>
      <extLst>
        <ext uri="{3e2802c4-a4d2-4d8b-9148-e3be6c30e623}">
          <xlrd:rvb i="333"/>
        </ext>
      </extLst>
    </bk>
    <bk>
      <extLst>
        <ext uri="{3e2802c4-a4d2-4d8b-9148-e3be6c30e623}">
          <xlrd:rvb i="334"/>
        </ext>
      </extLst>
    </bk>
    <bk>
      <extLst>
        <ext uri="{3e2802c4-a4d2-4d8b-9148-e3be6c30e623}">
          <xlrd:rvb i="335"/>
        </ext>
      </extLst>
    </bk>
    <bk>
      <extLst>
        <ext uri="{3e2802c4-a4d2-4d8b-9148-e3be6c30e623}">
          <xlrd:rvb i="336"/>
        </ext>
      </extLst>
    </bk>
    <bk>
      <extLst>
        <ext uri="{3e2802c4-a4d2-4d8b-9148-e3be6c30e623}">
          <xlrd:rvb i="337"/>
        </ext>
      </extLst>
    </bk>
    <bk>
      <extLst>
        <ext uri="{3e2802c4-a4d2-4d8b-9148-e3be6c30e623}">
          <xlrd:rvb i="338"/>
        </ext>
      </extLst>
    </bk>
    <bk>
      <extLst>
        <ext uri="{3e2802c4-a4d2-4d8b-9148-e3be6c30e623}">
          <xlrd:rvb i="339"/>
        </ext>
      </extLst>
    </bk>
    <bk>
      <extLst>
        <ext uri="{3e2802c4-a4d2-4d8b-9148-e3be6c30e623}">
          <xlrd:rvb i="340"/>
        </ext>
      </extLst>
    </bk>
    <bk>
      <extLst>
        <ext uri="{3e2802c4-a4d2-4d8b-9148-e3be6c30e623}">
          <xlrd:rvb i="341"/>
        </ext>
      </extLst>
    </bk>
    <bk>
      <extLst>
        <ext uri="{3e2802c4-a4d2-4d8b-9148-e3be6c30e623}">
          <xlrd:rvb i="342"/>
        </ext>
      </extLst>
    </bk>
    <bk>
      <extLst>
        <ext uri="{3e2802c4-a4d2-4d8b-9148-e3be6c30e623}">
          <xlrd:rvb i="343"/>
        </ext>
      </extLst>
    </bk>
    <bk>
      <extLst>
        <ext uri="{3e2802c4-a4d2-4d8b-9148-e3be6c30e623}">
          <xlrd:rvb i="344"/>
        </ext>
      </extLst>
    </bk>
    <bk>
      <extLst>
        <ext uri="{3e2802c4-a4d2-4d8b-9148-e3be6c30e623}">
          <xlrd:rvb i="345"/>
        </ext>
      </extLst>
    </bk>
    <bk>
      <extLst>
        <ext uri="{3e2802c4-a4d2-4d8b-9148-e3be6c30e623}">
          <xlrd:rvb i="346"/>
        </ext>
      </extLst>
    </bk>
    <bk>
      <extLst>
        <ext uri="{3e2802c4-a4d2-4d8b-9148-e3be6c30e623}">
          <xlrd:rvb i="347"/>
        </ext>
      </extLst>
    </bk>
    <bk>
      <extLst>
        <ext uri="{3e2802c4-a4d2-4d8b-9148-e3be6c30e623}">
          <xlrd:rvb i="348"/>
        </ext>
      </extLst>
    </bk>
    <bk>
      <extLst>
        <ext uri="{3e2802c4-a4d2-4d8b-9148-e3be6c30e623}">
          <xlrd:rvb i="349"/>
        </ext>
      </extLst>
    </bk>
    <bk>
      <extLst>
        <ext uri="{3e2802c4-a4d2-4d8b-9148-e3be6c30e623}">
          <xlrd:rvb i="350"/>
        </ext>
      </extLst>
    </bk>
    <bk>
      <extLst>
        <ext uri="{3e2802c4-a4d2-4d8b-9148-e3be6c30e623}">
          <xlrd:rvb i="351"/>
        </ext>
      </extLst>
    </bk>
    <bk>
      <extLst>
        <ext uri="{3e2802c4-a4d2-4d8b-9148-e3be6c30e623}">
          <xlrd:rvb i="352"/>
        </ext>
      </extLst>
    </bk>
    <bk>
      <extLst>
        <ext uri="{3e2802c4-a4d2-4d8b-9148-e3be6c30e623}">
          <xlrd:rvb i="353"/>
        </ext>
      </extLst>
    </bk>
    <bk>
      <extLst>
        <ext uri="{3e2802c4-a4d2-4d8b-9148-e3be6c30e623}">
          <xlrd:rvb i="354"/>
        </ext>
      </extLst>
    </bk>
    <bk>
      <extLst>
        <ext uri="{3e2802c4-a4d2-4d8b-9148-e3be6c30e623}">
          <xlrd:rvb i="355"/>
        </ext>
      </extLst>
    </bk>
    <bk>
      <extLst>
        <ext uri="{3e2802c4-a4d2-4d8b-9148-e3be6c30e623}">
          <xlrd:rvb i="356"/>
        </ext>
      </extLst>
    </bk>
    <bk>
      <extLst>
        <ext uri="{3e2802c4-a4d2-4d8b-9148-e3be6c30e623}">
          <xlrd:rvb i="357"/>
        </ext>
      </extLst>
    </bk>
    <bk>
      <extLst>
        <ext uri="{3e2802c4-a4d2-4d8b-9148-e3be6c30e623}">
          <xlrd:rvb i="358"/>
        </ext>
      </extLst>
    </bk>
    <bk>
      <extLst>
        <ext uri="{3e2802c4-a4d2-4d8b-9148-e3be6c30e623}">
          <xlrd:rvb i="359"/>
        </ext>
      </extLst>
    </bk>
    <bk>
      <extLst>
        <ext uri="{3e2802c4-a4d2-4d8b-9148-e3be6c30e623}">
          <xlrd:rvb i="360"/>
        </ext>
      </extLst>
    </bk>
    <bk>
      <extLst>
        <ext uri="{3e2802c4-a4d2-4d8b-9148-e3be6c30e623}">
          <xlrd:rvb i="361"/>
        </ext>
      </extLst>
    </bk>
    <bk>
      <extLst>
        <ext uri="{3e2802c4-a4d2-4d8b-9148-e3be6c30e623}">
          <xlrd:rvb i="362"/>
        </ext>
      </extLst>
    </bk>
    <bk>
      <extLst>
        <ext uri="{3e2802c4-a4d2-4d8b-9148-e3be6c30e623}">
          <xlrd:rvb i="363"/>
        </ext>
      </extLst>
    </bk>
    <bk>
      <extLst>
        <ext uri="{3e2802c4-a4d2-4d8b-9148-e3be6c30e623}">
          <xlrd:rvb i="364"/>
        </ext>
      </extLst>
    </bk>
    <bk>
      <extLst>
        <ext uri="{3e2802c4-a4d2-4d8b-9148-e3be6c30e623}">
          <xlrd:rvb i="365"/>
        </ext>
      </extLst>
    </bk>
    <bk>
      <extLst>
        <ext uri="{3e2802c4-a4d2-4d8b-9148-e3be6c30e623}">
          <xlrd:rvb i="366"/>
        </ext>
      </extLst>
    </bk>
    <bk>
      <extLst>
        <ext uri="{3e2802c4-a4d2-4d8b-9148-e3be6c30e623}">
          <xlrd:rvb i="367"/>
        </ext>
      </extLst>
    </bk>
    <bk>
      <extLst>
        <ext uri="{3e2802c4-a4d2-4d8b-9148-e3be6c30e623}">
          <xlrd:rvb i="368"/>
        </ext>
      </extLst>
    </bk>
    <bk>
      <extLst>
        <ext uri="{3e2802c4-a4d2-4d8b-9148-e3be6c30e623}">
          <xlrd:rvb i="369"/>
        </ext>
      </extLst>
    </bk>
    <bk>
      <extLst>
        <ext uri="{3e2802c4-a4d2-4d8b-9148-e3be6c30e623}">
          <xlrd:rvb i="370"/>
        </ext>
      </extLst>
    </bk>
    <bk>
      <extLst>
        <ext uri="{3e2802c4-a4d2-4d8b-9148-e3be6c30e623}">
          <xlrd:rvb i="371"/>
        </ext>
      </extLst>
    </bk>
    <bk>
      <extLst>
        <ext uri="{3e2802c4-a4d2-4d8b-9148-e3be6c30e623}">
          <xlrd:rvb i="372"/>
        </ext>
      </extLst>
    </bk>
    <bk>
      <extLst>
        <ext uri="{3e2802c4-a4d2-4d8b-9148-e3be6c30e623}">
          <xlrd:rvb i="373"/>
        </ext>
      </extLst>
    </bk>
    <bk>
      <extLst>
        <ext uri="{3e2802c4-a4d2-4d8b-9148-e3be6c30e623}">
          <xlrd:rvb i="374"/>
        </ext>
      </extLst>
    </bk>
    <bk>
      <extLst>
        <ext uri="{3e2802c4-a4d2-4d8b-9148-e3be6c30e623}">
          <xlrd:rvb i="375"/>
        </ext>
      </extLst>
    </bk>
    <bk>
      <extLst>
        <ext uri="{3e2802c4-a4d2-4d8b-9148-e3be6c30e623}">
          <xlrd:rvb i="376"/>
        </ext>
      </extLst>
    </bk>
    <bk>
      <extLst>
        <ext uri="{3e2802c4-a4d2-4d8b-9148-e3be6c30e623}">
          <xlrd:rvb i="377"/>
        </ext>
      </extLst>
    </bk>
    <bk>
      <extLst>
        <ext uri="{3e2802c4-a4d2-4d8b-9148-e3be6c30e623}">
          <xlrd:rvb i="378"/>
        </ext>
      </extLst>
    </bk>
    <bk>
      <extLst>
        <ext uri="{3e2802c4-a4d2-4d8b-9148-e3be6c30e623}">
          <xlrd:rvb i="379"/>
        </ext>
      </extLst>
    </bk>
    <bk>
      <extLst>
        <ext uri="{3e2802c4-a4d2-4d8b-9148-e3be6c30e623}">
          <xlrd:rvb i="380"/>
        </ext>
      </extLst>
    </bk>
    <bk>
      <extLst>
        <ext uri="{3e2802c4-a4d2-4d8b-9148-e3be6c30e623}">
          <xlrd:rvb i="381"/>
        </ext>
      </extLst>
    </bk>
    <bk>
      <extLst>
        <ext uri="{3e2802c4-a4d2-4d8b-9148-e3be6c30e623}">
          <xlrd:rvb i="382"/>
        </ext>
      </extLst>
    </bk>
    <bk>
      <extLst>
        <ext uri="{3e2802c4-a4d2-4d8b-9148-e3be6c30e623}">
          <xlrd:rvb i="383"/>
        </ext>
      </extLst>
    </bk>
    <bk>
      <extLst>
        <ext uri="{3e2802c4-a4d2-4d8b-9148-e3be6c30e623}">
          <xlrd:rvb i="384"/>
        </ext>
      </extLst>
    </bk>
    <bk>
      <extLst>
        <ext uri="{3e2802c4-a4d2-4d8b-9148-e3be6c30e623}">
          <xlrd:rvb i="385"/>
        </ext>
      </extLst>
    </bk>
    <bk>
      <extLst>
        <ext uri="{3e2802c4-a4d2-4d8b-9148-e3be6c30e623}">
          <xlrd:rvb i="386"/>
        </ext>
      </extLst>
    </bk>
    <bk>
      <extLst>
        <ext uri="{3e2802c4-a4d2-4d8b-9148-e3be6c30e623}">
          <xlrd:rvb i="387"/>
        </ext>
      </extLst>
    </bk>
    <bk>
      <extLst>
        <ext uri="{3e2802c4-a4d2-4d8b-9148-e3be6c30e623}">
          <xlrd:rvb i="388"/>
        </ext>
      </extLst>
    </bk>
    <bk>
      <extLst>
        <ext uri="{3e2802c4-a4d2-4d8b-9148-e3be6c30e623}">
          <xlrd:rvb i="389"/>
        </ext>
      </extLst>
    </bk>
    <bk>
      <extLst>
        <ext uri="{3e2802c4-a4d2-4d8b-9148-e3be6c30e623}">
          <xlrd:rvb i="390"/>
        </ext>
      </extLst>
    </bk>
    <bk>
      <extLst>
        <ext uri="{3e2802c4-a4d2-4d8b-9148-e3be6c30e623}">
          <xlrd:rvb i="391"/>
        </ext>
      </extLst>
    </bk>
    <bk>
      <extLst>
        <ext uri="{3e2802c4-a4d2-4d8b-9148-e3be6c30e623}">
          <xlrd:rvb i="392"/>
        </ext>
      </extLst>
    </bk>
    <bk>
      <extLst>
        <ext uri="{3e2802c4-a4d2-4d8b-9148-e3be6c30e623}">
          <xlrd:rvb i="393"/>
        </ext>
      </extLst>
    </bk>
    <bk>
      <extLst>
        <ext uri="{3e2802c4-a4d2-4d8b-9148-e3be6c30e623}">
          <xlrd:rvb i="394"/>
        </ext>
      </extLst>
    </bk>
    <bk>
      <extLst>
        <ext uri="{3e2802c4-a4d2-4d8b-9148-e3be6c30e623}">
          <xlrd:rvb i="395"/>
        </ext>
      </extLst>
    </bk>
    <bk>
      <extLst>
        <ext uri="{3e2802c4-a4d2-4d8b-9148-e3be6c30e623}">
          <xlrd:rvb i="396"/>
        </ext>
      </extLst>
    </bk>
    <bk>
      <extLst>
        <ext uri="{3e2802c4-a4d2-4d8b-9148-e3be6c30e623}">
          <xlrd:rvb i="397"/>
        </ext>
      </extLst>
    </bk>
    <bk>
      <extLst>
        <ext uri="{3e2802c4-a4d2-4d8b-9148-e3be6c30e623}">
          <xlrd:rvb i="398"/>
        </ext>
      </extLst>
    </bk>
    <bk>
      <extLst>
        <ext uri="{3e2802c4-a4d2-4d8b-9148-e3be6c30e623}">
          <xlrd:rvb i="399"/>
        </ext>
      </extLst>
    </bk>
    <bk>
      <extLst>
        <ext uri="{3e2802c4-a4d2-4d8b-9148-e3be6c30e623}">
          <xlrd:rvb i="400"/>
        </ext>
      </extLst>
    </bk>
    <bk>
      <extLst>
        <ext uri="{3e2802c4-a4d2-4d8b-9148-e3be6c30e623}">
          <xlrd:rvb i="401"/>
        </ext>
      </extLst>
    </bk>
    <bk>
      <extLst>
        <ext uri="{3e2802c4-a4d2-4d8b-9148-e3be6c30e623}">
          <xlrd:rvb i="402"/>
        </ext>
      </extLst>
    </bk>
    <bk>
      <extLst>
        <ext uri="{3e2802c4-a4d2-4d8b-9148-e3be6c30e623}">
          <xlrd:rvb i="403"/>
        </ext>
      </extLst>
    </bk>
    <bk>
      <extLst>
        <ext uri="{3e2802c4-a4d2-4d8b-9148-e3be6c30e623}">
          <xlrd:rvb i="404"/>
        </ext>
      </extLst>
    </bk>
    <bk>
      <extLst>
        <ext uri="{3e2802c4-a4d2-4d8b-9148-e3be6c30e623}">
          <xlrd:rvb i="405"/>
        </ext>
      </extLst>
    </bk>
    <bk>
      <extLst>
        <ext uri="{3e2802c4-a4d2-4d8b-9148-e3be6c30e623}">
          <xlrd:rvb i="406"/>
        </ext>
      </extLst>
    </bk>
    <bk>
      <extLst>
        <ext uri="{3e2802c4-a4d2-4d8b-9148-e3be6c30e623}">
          <xlrd:rvb i="407"/>
        </ext>
      </extLst>
    </bk>
    <bk>
      <extLst>
        <ext uri="{3e2802c4-a4d2-4d8b-9148-e3be6c30e623}">
          <xlrd:rvb i="408"/>
        </ext>
      </extLst>
    </bk>
    <bk>
      <extLst>
        <ext uri="{3e2802c4-a4d2-4d8b-9148-e3be6c30e623}">
          <xlrd:rvb i="409"/>
        </ext>
      </extLst>
    </bk>
    <bk>
      <extLst>
        <ext uri="{3e2802c4-a4d2-4d8b-9148-e3be6c30e623}">
          <xlrd:rvb i="410"/>
        </ext>
      </extLst>
    </bk>
    <bk>
      <extLst>
        <ext uri="{3e2802c4-a4d2-4d8b-9148-e3be6c30e623}">
          <xlrd:rvb i="411"/>
        </ext>
      </extLst>
    </bk>
    <bk>
      <extLst>
        <ext uri="{3e2802c4-a4d2-4d8b-9148-e3be6c30e623}">
          <xlrd:rvb i="412"/>
        </ext>
      </extLst>
    </bk>
    <bk>
      <extLst>
        <ext uri="{3e2802c4-a4d2-4d8b-9148-e3be6c30e623}">
          <xlrd:rvb i="413"/>
        </ext>
      </extLst>
    </bk>
    <bk>
      <extLst>
        <ext uri="{3e2802c4-a4d2-4d8b-9148-e3be6c30e623}">
          <xlrd:rvb i="414"/>
        </ext>
      </extLst>
    </bk>
    <bk>
      <extLst>
        <ext uri="{3e2802c4-a4d2-4d8b-9148-e3be6c30e623}">
          <xlrd:rvb i="415"/>
        </ext>
      </extLst>
    </bk>
    <bk>
      <extLst>
        <ext uri="{3e2802c4-a4d2-4d8b-9148-e3be6c30e623}">
          <xlrd:rvb i="416"/>
        </ext>
      </extLst>
    </bk>
    <bk>
      <extLst>
        <ext uri="{3e2802c4-a4d2-4d8b-9148-e3be6c30e623}">
          <xlrd:rvb i="417"/>
        </ext>
      </extLst>
    </bk>
    <bk>
      <extLst>
        <ext uri="{3e2802c4-a4d2-4d8b-9148-e3be6c30e623}">
          <xlrd:rvb i="418"/>
        </ext>
      </extLst>
    </bk>
    <bk>
      <extLst>
        <ext uri="{3e2802c4-a4d2-4d8b-9148-e3be6c30e623}">
          <xlrd:rvb i="419"/>
        </ext>
      </extLst>
    </bk>
    <bk>
      <extLst>
        <ext uri="{3e2802c4-a4d2-4d8b-9148-e3be6c30e623}">
          <xlrd:rvb i="420"/>
        </ext>
      </extLst>
    </bk>
    <bk>
      <extLst>
        <ext uri="{3e2802c4-a4d2-4d8b-9148-e3be6c30e623}">
          <xlrd:rvb i="421"/>
        </ext>
      </extLst>
    </bk>
    <bk>
      <extLst>
        <ext uri="{3e2802c4-a4d2-4d8b-9148-e3be6c30e623}">
          <xlrd:rvb i="422"/>
        </ext>
      </extLst>
    </bk>
    <bk>
      <extLst>
        <ext uri="{3e2802c4-a4d2-4d8b-9148-e3be6c30e623}">
          <xlrd:rvb i="423"/>
        </ext>
      </extLst>
    </bk>
    <bk>
      <extLst>
        <ext uri="{3e2802c4-a4d2-4d8b-9148-e3be6c30e623}">
          <xlrd:rvb i="424"/>
        </ext>
      </extLst>
    </bk>
    <bk>
      <extLst>
        <ext uri="{3e2802c4-a4d2-4d8b-9148-e3be6c30e623}">
          <xlrd:rvb i="425"/>
        </ext>
      </extLst>
    </bk>
    <bk>
      <extLst>
        <ext uri="{3e2802c4-a4d2-4d8b-9148-e3be6c30e623}">
          <xlrd:rvb i="426"/>
        </ext>
      </extLst>
    </bk>
    <bk>
      <extLst>
        <ext uri="{3e2802c4-a4d2-4d8b-9148-e3be6c30e623}">
          <xlrd:rvb i="427"/>
        </ext>
      </extLst>
    </bk>
    <bk>
      <extLst>
        <ext uri="{3e2802c4-a4d2-4d8b-9148-e3be6c30e623}">
          <xlrd:rvb i="428"/>
        </ext>
      </extLst>
    </bk>
    <bk>
      <extLst>
        <ext uri="{3e2802c4-a4d2-4d8b-9148-e3be6c30e623}">
          <xlrd:rvb i="429"/>
        </ext>
      </extLst>
    </bk>
    <bk>
      <extLst>
        <ext uri="{3e2802c4-a4d2-4d8b-9148-e3be6c30e623}">
          <xlrd:rvb i="430"/>
        </ext>
      </extLst>
    </bk>
    <bk>
      <extLst>
        <ext uri="{3e2802c4-a4d2-4d8b-9148-e3be6c30e623}">
          <xlrd:rvb i="431"/>
        </ext>
      </extLst>
    </bk>
    <bk>
      <extLst>
        <ext uri="{3e2802c4-a4d2-4d8b-9148-e3be6c30e623}">
          <xlrd:rvb i="432"/>
        </ext>
      </extLst>
    </bk>
    <bk>
      <extLst>
        <ext uri="{3e2802c4-a4d2-4d8b-9148-e3be6c30e623}">
          <xlrd:rvb i="433"/>
        </ext>
      </extLst>
    </bk>
    <bk>
      <extLst>
        <ext uri="{3e2802c4-a4d2-4d8b-9148-e3be6c30e623}">
          <xlrd:rvb i="434"/>
        </ext>
      </extLst>
    </bk>
    <bk>
      <extLst>
        <ext uri="{3e2802c4-a4d2-4d8b-9148-e3be6c30e623}">
          <xlrd:rvb i="435"/>
        </ext>
      </extLst>
    </bk>
    <bk>
      <extLst>
        <ext uri="{3e2802c4-a4d2-4d8b-9148-e3be6c30e623}">
          <xlrd:rvb i="436"/>
        </ext>
      </extLst>
    </bk>
    <bk>
      <extLst>
        <ext uri="{3e2802c4-a4d2-4d8b-9148-e3be6c30e623}">
          <xlrd:rvb i="437"/>
        </ext>
      </extLst>
    </bk>
    <bk>
      <extLst>
        <ext uri="{3e2802c4-a4d2-4d8b-9148-e3be6c30e623}">
          <xlrd:rvb i="438"/>
        </ext>
      </extLst>
    </bk>
    <bk>
      <extLst>
        <ext uri="{3e2802c4-a4d2-4d8b-9148-e3be6c30e623}">
          <xlrd:rvb i="439"/>
        </ext>
      </extLst>
    </bk>
    <bk>
      <extLst>
        <ext uri="{3e2802c4-a4d2-4d8b-9148-e3be6c30e623}">
          <xlrd:rvb i="440"/>
        </ext>
      </extLst>
    </bk>
    <bk>
      <extLst>
        <ext uri="{3e2802c4-a4d2-4d8b-9148-e3be6c30e623}">
          <xlrd:rvb i="441"/>
        </ext>
      </extLst>
    </bk>
    <bk>
      <extLst>
        <ext uri="{3e2802c4-a4d2-4d8b-9148-e3be6c30e623}">
          <xlrd:rvb i="442"/>
        </ext>
      </extLst>
    </bk>
    <bk>
      <extLst>
        <ext uri="{3e2802c4-a4d2-4d8b-9148-e3be6c30e623}">
          <xlrd:rvb i="443"/>
        </ext>
      </extLst>
    </bk>
    <bk>
      <extLst>
        <ext uri="{3e2802c4-a4d2-4d8b-9148-e3be6c30e623}">
          <xlrd:rvb i="444"/>
        </ext>
      </extLst>
    </bk>
  </futureMetadata>
  <cellMetadata count="1">
    <bk>
      <rc t="1" v="0"/>
    </bk>
  </cellMetadata>
  <valueMetadata count="445">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bk>
      <rc t="2" v="105"/>
    </bk>
    <bk>
      <rc t="2" v="106"/>
    </bk>
    <bk>
      <rc t="2" v="107"/>
    </bk>
    <bk>
      <rc t="2" v="108"/>
    </bk>
    <bk>
      <rc t="2" v="109"/>
    </bk>
    <bk>
      <rc t="2" v="110"/>
    </bk>
    <bk>
      <rc t="2" v="111"/>
    </bk>
    <bk>
      <rc t="2" v="112"/>
    </bk>
    <bk>
      <rc t="2" v="113"/>
    </bk>
    <bk>
      <rc t="2" v="114"/>
    </bk>
    <bk>
      <rc t="2" v="115"/>
    </bk>
    <bk>
      <rc t="2" v="116"/>
    </bk>
    <bk>
      <rc t="2" v="117"/>
    </bk>
    <bk>
      <rc t="2" v="118"/>
    </bk>
    <bk>
      <rc t="2" v="119"/>
    </bk>
    <bk>
      <rc t="2" v="120"/>
    </bk>
    <bk>
      <rc t="2" v="121"/>
    </bk>
    <bk>
      <rc t="2" v="122"/>
    </bk>
    <bk>
      <rc t="2" v="123"/>
    </bk>
    <bk>
      <rc t="2" v="124"/>
    </bk>
    <bk>
      <rc t="2" v="125"/>
    </bk>
    <bk>
      <rc t="2" v="126"/>
    </bk>
    <bk>
      <rc t="2" v="127"/>
    </bk>
    <bk>
      <rc t="2" v="128"/>
    </bk>
    <bk>
      <rc t="2" v="129"/>
    </bk>
    <bk>
      <rc t="2" v="130"/>
    </bk>
    <bk>
      <rc t="2" v="131"/>
    </bk>
    <bk>
      <rc t="2" v="132"/>
    </bk>
    <bk>
      <rc t="2" v="133"/>
    </bk>
    <bk>
      <rc t="2" v="134"/>
    </bk>
    <bk>
      <rc t="2" v="135"/>
    </bk>
    <bk>
      <rc t="2" v="136"/>
    </bk>
    <bk>
      <rc t="2" v="137"/>
    </bk>
    <bk>
      <rc t="2" v="138"/>
    </bk>
    <bk>
      <rc t="2" v="139"/>
    </bk>
    <bk>
      <rc t="2" v="140"/>
    </bk>
    <bk>
      <rc t="2" v="141"/>
    </bk>
    <bk>
      <rc t="2" v="142"/>
    </bk>
    <bk>
      <rc t="2" v="143"/>
    </bk>
    <bk>
      <rc t="2" v="144"/>
    </bk>
    <bk>
      <rc t="2" v="145"/>
    </bk>
    <bk>
      <rc t="2" v="146"/>
    </bk>
    <bk>
      <rc t="2" v="147"/>
    </bk>
    <bk>
      <rc t="2" v="148"/>
    </bk>
    <bk>
      <rc t="2" v="149"/>
    </bk>
    <bk>
      <rc t="2" v="150"/>
    </bk>
    <bk>
      <rc t="2" v="151"/>
    </bk>
    <bk>
      <rc t="2" v="152"/>
    </bk>
    <bk>
      <rc t="2" v="153"/>
    </bk>
    <bk>
      <rc t="2" v="154"/>
    </bk>
    <bk>
      <rc t="2" v="155"/>
    </bk>
    <bk>
      <rc t="2" v="156"/>
    </bk>
    <bk>
      <rc t="2" v="157"/>
    </bk>
    <bk>
      <rc t="2" v="158"/>
    </bk>
    <bk>
      <rc t="2" v="159"/>
    </bk>
    <bk>
      <rc t="2" v="160"/>
    </bk>
    <bk>
      <rc t="2" v="161"/>
    </bk>
    <bk>
      <rc t="2" v="162"/>
    </bk>
    <bk>
      <rc t="2" v="163"/>
    </bk>
    <bk>
      <rc t="2" v="164"/>
    </bk>
    <bk>
      <rc t="2" v="165"/>
    </bk>
    <bk>
      <rc t="2" v="166"/>
    </bk>
    <bk>
      <rc t="2" v="167"/>
    </bk>
    <bk>
      <rc t="2" v="168"/>
    </bk>
    <bk>
      <rc t="2" v="169"/>
    </bk>
    <bk>
      <rc t="2" v="170"/>
    </bk>
    <bk>
      <rc t="2" v="171"/>
    </bk>
    <bk>
      <rc t="2" v="172"/>
    </bk>
    <bk>
      <rc t="2" v="173"/>
    </bk>
    <bk>
      <rc t="2" v="174"/>
    </bk>
    <bk>
      <rc t="2" v="175"/>
    </bk>
    <bk>
      <rc t="2" v="176"/>
    </bk>
    <bk>
      <rc t="2" v="177"/>
    </bk>
    <bk>
      <rc t="2" v="178"/>
    </bk>
    <bk>
      <rc t="2" v="179"/>
    </bk>
    <bk>
      <rc t="2" v="180"/>
    </bk>
    <bk>
      <rc t="2" v="181"/>
    </bk>
    <bk>
      <rc t="2" v="182"/>
    </bk>
    <bk>
      <rc t="2" v="183"/>
    </bk>
    <bk>
      <rc t="2" v="184"/>
    </bk>
    <bk>
      <rc t="2" v="185"/>
    </bk>
    <bk>
      <rc t="2" v="186"/>
    </bk>
    <bk>
      <rc t="2" v="187"/>
    </bk>
    <bk>
      <rc t="2" v="188"/>
    </bk>
    <bk>
      <rc t="2" v="189"/>
    </bk>
    <bk>
      <rc t="2" v="190"/>
    </bk>
    <bk>
      <rc t="2" v="191"/>
    </bk>
    <bk>
      <rc t="2" v="192"/>
    </bk>
    <bk>
      <rc t="2" v="193"/>
    </bk>
    <bk>
      <rc t="2" v="194"/>
    </bk>
    <bk>
      <rc t="2" v="195"/>
    </bk>
    <bk>
      <rc t="2" v="196"/>
    </bk>
    <bk>
      <rc t="2" v="197"/>
    </bk>
    <bk>
      <rc t="2" v="198"/>
    </bk>
    <bk>
      <rc t="2" v="199"/>
    </bk>
    <bk>
      <rc t="2" v="200"/>
    </bk>
    <bk>
      <rc t="2" v="201"/>
    </bk>
    <bk>
      <rc t="2" v="202"/>
    </bk>
    <bk>
      <rc t="2" v="203"/>
    </bk>
    <bk>
      <rc t="2" v="204"/>
    </bk>
    <bk>
      <rc t="2" v="205"/>
    </bk>
    <bk>
      <rc t="2" v="206"/>
    </bk>
    <bk>
      <rc t="2" v="207"/>
    </bk>
    <bk>
      <rc t="2" v="208"/>
    </bk>
    <bk>
      <rc t="2" v="209"/>
    </bk>
    <bk>
      <rc t="2" v="210"/>
    </bk>
    <bk>
      <rc t="2" v="211"/>
    </bk>
    <bk>
      <rc t="2" v="212"/>
    </bk>
    <bk>
      <rc t="2" v="213"/>
    </bk>
    <bk>
      <rc t="2" v="214"/>
    </bk>
    <bk>
      <rc t="2" v="215"/>
    </bk>
    <bk>
      <rc t="2" v="216"/>
    </bk>
    <bk>
      <rc t="2" v="217"/>
    </bk>
    <bk>
      <rc t="2" v="218"/>
    </bk>
    <bk>
      <rc t="2" v="219"/>
    </bk>
    <bk>
      <rc t="2" v="220"/>
    </bk>
    <bk>
      <rc t="2" v="221"/>
    </bk>
    <bk>
      <rc t="2" v="222"/>
    </bk>
    <bk>
      <rc t="2" v="223"/>
    </bk>
    <bk>
      <rc t="2" v="224"/>
    </bk>
    <bk>
      <rc t="2" v="225"/>
    </bk>
    <bk>
      <rc t="2" v="226"/>
    </bk>
    <bk>
      <rc t="2" v="227"/>
    </bk>
    <bk>
      <rc t="2" v="228"/>
    </bk>
    <bk>
      <rc t="2" v="229"/>
    </bk>
    <bk>
      <rc t="2" v="230"/>
    </bk>
    <bk>
      <rc t="2" v="231"/>
    </bk>
    <bk>
      <rc t="2" v="232"/>
    </bk>
    <bk>
      <rc t="2" v="233"/>
    </bk>
    <bk>
      <rc t="2" v="234"/>
    </bk>
    <bk>
      <rc t="2" v="235"/>
    </bk>
    <bk>
      <rc t="2" v="236"/>
    </bk>
    <bk>
      <rc t="2" v="237"/>
    </bk>
    <bk>
      <rc t="2" v="238"/>
    </bk>
    <bk>
      <rc t="2" v="239"/>
    </bk>
    <bk>
      <rc t="2" v="240"/>
    </bk>
    <bk>
      <rc t="2" v="241"/>
    </bk>
    <bk>
      <rc t="2" v="242"/>
    </bk>
    <bk>
      <rc t="2" v="243"/>
    </bk>
    <bk>
      <rc t="2" v="244"/>
    </bk>
    <bk>
      <rc t="2" v="245"/>
    </bk>
    <bk>
      <rc t="2" v="246"/>
    </bk>
    <bk>
      <rc t="2" v="247"/>
    </bk>
    <bk>
      <rc t="2" v="248"/>
    </bk>
    <bk>
      <rc t="2" v="249"/>
    </bk>
    <bk>
      <rc t="2" v="250"/>
    </bk>
    <bk>
      <rc t="2" v="251"/>
    </bk>
    <bk>
      <rc t="2" v="252"/>
    </bk>
    <bk>
      <rc t="2" v="253"/>
    </bk>
    <bk>
      <rc t="2" v="254"/>
    </bk>
    <bk>
      <rc t="2" v="255"/>
    </bk>
    <bk>
      <rc t="2" v="256"/>
    </bk>
    <bk>
      <rc t="2" v="257"/>
    </bk>
    <bk>
      <rc t="2" v="258"/>
    </bk>
    <bk>
      <rc t="2" v="259"/>
    </bk>
    <bk>
      <rc t="2" v="260"/>
    </bk>
    <bk>
      <rc t="2" v="261"/>
    </bk>
    <bk>
      <rc t="2" v="262"/>
    </bk>
    <bk>
      <rc t="2" v="263"/>
    </bk>
    <bk>
      <rc t="2" v="264"/>
    </bk>
    <bk>
      <rc t="2" v="265"/>
    </bk>
    <bk>
      <rc t="2" v="266"/>
    </bk>
    <bk>
      <rc t="2" v="267"/>
    </bk>
    <bk>
      <rc t="2" v="268"/>
    </bk>
    <bk>
      <rc t="2" v="269"/>
    </bk>
    <bk>
      <rc t="2" v="270"/>
    </bk>
    <bk>
      <rc t="2" v="271"/>
    </bk>
    <bk>
      <rc t="2" v="272"/>
    </bk>
    <bk>
      <rc t="2" v="273"/>
    </bk>
    <bk>
      <rc t="2" v="274"/>
    </bk>
    <bk>
      <rc t="2" v="275"/>
    </bk>
    <bk>
      <rc t="2" v="276"/>
    </bk>
    <bk>
      <rc t="2" v="277"/>
    </bk>
    <bk>
      <rc t="2" v="278"/>
    </bk>
    <bk>
      <rc t="2" v="279"/>
    </bk>
    <bk>
      <rc t="2" v="280"/>
    </bk>
    <bk>
      <rc t="2" v="281"/>
    </bk>
    <bk>
      <rc t="2" v="282"/>
    </bk>
    <bk>
      <rc t="2" v="283"/>
    </bk>
    <bk>
      <rc t="2" v="284"/>
    </bk>
    <bk>
      <rc t="2" v="285"/>
    </bk>
    <bk>
      <rc t="2" v="286"/>
    </bk>
    <bk>
      <rc t="2" v="287"/>
    </bk>
    <bk>
      <rc t="2" v="288"/>
    </bk>
    <bk>
      <rc t="2" v="289"/>
    </bk>
    <bk>
      <rc t="2" v="290"/>
    </bk>
    <bk>
      <rc t="2" v="291"/>
    </bk>
    <bk>
      <rc t="2" v="292"/>
    </bk>
    <bk>
      <rc t="2" v="293"/>
    </bk>
    <bk>
      <rc t="2" v="294"/>
    </bk>
    <bk>
      <rc t="2" v="295"/>
    </bk>
    <bk>
      <rc t="2" v="296"/>
    </bk>
    <bk>
      <rc t="2" v="297"/>
    </bk>
    <bk>
      <rc t="2" v="298"/>
    </bk>
    <bk>
      <rc t="2" v="299"/>
    </bk>
    <bk>
      <rc t="2" v="300"/>
    </bk>
    <bk>
      <rc t="2" v="301"/>
    </bk>
    <bk>
      <rc t="2" v="302"/>
    </bk>
    <bk>
      <rc t="2" v="303"/>
    </bk>
    <bk>
      <rc t="2" v="304"/>
    </bk>
    <bk>
      <rc t="2" v="305"/>
    </bk>
    <bk>
      <rc t="2" v="306"/>
    </bk>
    <bk>
      <rc t="2" v="307"/>
    </bk>
    <bk>
      <rc t="2" v="308"/>
    </bk>
    <bk>
      <rc t="2" v="309"/>
    </bk>
    <bk>
      <rc t="2" v="310"/>
    </bk>
    <bk>
      <rc t="2" v="311"/>
    </bk>
    <bk>
      <rc t="2" v="312"/>
    </bk>
    <bk>
      <rc t="2" v="313"/>
    </bk>
    <bk>
      <rc t="2" v="314"/>
    </bk>
    <bk>
      <rc t="2" v="315"/>
    </bk>
    <bk>
      <rc t="2" v="316"/>
    </bk>
    <bk>
      <rc t="2" v="317"/>
    </bk>
    <bk>
      <rc t="2" v="318"/>
    </bk>
    <bk>
      <rc t="2" v="319"/>
    </bk>
    <bk>
      <rc t="2" v="320"/>
    </bk>
    <bk>
      <rc t="2" v="321"/>
    </bk>
    <bk>
      <rc t="2" v="322"/>
    </bk>
    <bk>
      <rc t="2" v="323"/>
    </bk>
    <bk>
      <rc t="2" v="324"/>
    </bk>
    <bk>
      <rc t="2" v="325"/>
    </bk>
    <bk>
      <rc t="2" v="326"/>
    </bk>
    <bk>
      <rc t="2" v="327"/>
    </bk>
    <bk>
      <rc t="2" v="328"/>
    </bk>
    <bk>
      <rc t="2" v="329"/>
    </bk>
    <bk>
      <rc t="2" v="330"/>
    </bk>
    <bk>
      <rc t="2" v="331"/>
    </bk>
    <bk>
      <rc t="2" v="332"/>
    </bk>
    <bk>
      <rc t="2" v="333"/>
    </bk>
    <bk>
      <rc t="2" v="334"/>
    </bk>
    <bk>
      <rc t="2" v="335"/>
    </bk>
    <bk>
      <rc t="2" v="336"/>
    </bk>
    <bk>
      <rc t="2" v="337"/>
    </bk>
    <bk>
      <rc t="2" v="338"/>
    </bk>
    <bk>
      <rc t="2" v="339"/>
    </bk>
    <bk>
      <rc t="2" v="340"/>
    </bk>
    <bk>
      <rc t="2" v="341"/>
    </bk>
    <bk>
      <rc t="2" v="342"/>
    </bk>
    <bk>
      <rc t="2" v="343"/>
    </bk>
    <bk>
      <rc t="2" v="344"/>
    </bk>
    <bk>
      <rc t="2" v="345"/>
    </bk>
    <bk>
      <rc t="2" v="346"/>
    </bk>
    <bk>
      <rc t="2" v="347"/>
    </bk>
    <bk>
      <rc t="2" v="348"/>
    </bk>
    <bk>
      <rc t="2" v="349"/>
    </bk>
    <bk>
      <rc t="2" v="350"/>
    </bk>
    <bk>
      <rc t="2" v="351"/>
    </bk>
    <bk>
      <rc t="2" v="352"/>
    </bk>
    <bk>
      <rc t="2" v="353"/>
    </bk>
    <bk>
      <rc t="2" v="354"/>
    </bk>
    <bk>
      <rc t="2" v="355"/>
    </bk>
    <bk>
      <rc t="2" v="356"/>
    </bk>
    <bk>
      <rc t="2" v="357"/>
    </bk>
    <bk>
      <rc t="2" v="358"/>
    </bk>
    <bk>
      <rc t="2" v="359"/>
    </bk>
    <bk>
      <rc t="2" v="360"/>
    </bk>
    <bk>
      <rc t="2" v="361"/>
    </bk>
    <bk>
      <rc t="2" v="362"/>
    </bk>
    <bk>
      <rc t="2" v="363"/>
    </bk>
    <bk>
      <rc t="2" v="364"/>
    </bk>
    <bk>
      <rc t="2" v="365"/>
    </bk>
    <bk>
      <rc t="2" v="366"/>
    </bk>
    <bk>
      <rc t="2" v="367"/>
    </bk>
    <bk>
      <rc t="2" v="368"/>
    </bk>
    <bk>
      <rc t="2" v="369"/>
    </bk>
    <bk>
      <rc t="2" v="370"/>
    </bk>
    <bk>
      <rc t="2" v="371"/>
    </bk>
    <bk>
      <rc t="2" v="372"/>
    </bk>
    <bk>
      <rc t="2" v="373"/>
    </bk>
    <bk>
      <rc t="2" v="374"/>
    </bk>
    <bk>
      <rc t="2" v="375"/>
    </bk>
    <bk>
      <rc t="2" v="376"/>
    </bk>
    <bk>
      <rc t="2" v="377"/>
    </bk>
    <bk>
      <rc t="2" v="378"/>
    </bk>
    <bk>
      <rc t="2" v="379"/>
    </bk>
    <bk>
      <rc t="2" v="380"/>
    </bk>
    <bk>
      <rc t="2" v="381"/>
    </bk>
    <bk>
      <rc t="2" v="382"/>
    </bk>
    <bk>
      <rc t="2" v="383"/>
    </bk>
    <bk>
      <rc t="2" v="384"/>
    </bk>
    <bk>
      <rc t="2" v="385"/>
    </bk>
    <bk>
      <rc t="2" v="386"/>
    </bk>
    <bk>
      <rc t="2" v="387"/>
    </bk>
    <bk>
      <rc t="2" v="388"/>
    </bk>
    <bk>
      <rc t="2" v="389"/>
    </bk>
    <bk>
      <rc t="2" v="390"/>
    </bk>
    <bk>
      <rc t="2" v="391"/>
    </bk>
    <bk>
      <rc t="2" v="392"/>
    </bk>
    <bk>
      <rc t="2" v="393"/>
    </bk>
    <bk>
      <rc t="2" v="394"/>
    </bk>
    <bk>
      <rc t="2" v="395"/>
    </bk>
    <bk>
      <rc t="2" v="396"/>
    </bk>
    <bk>
      <rc t="2" v="397"/>
    </bk>
    <bk>
      <rc t="2" v="398"/>
    </bk>
    <bk>
      <rc t="2" v="399"/>
    </bk>
    <bk>
      <rc t="2" v="400"/>
    </bk>
    <bk>
      <rc t="2" v="401"/>
    </bk>
    <bk>
      <rc t="2" v="402"/>
    </bk>
    <bk>
      <rc t="2" v="403"/>
    </bk>
    <bk>
      <rc t="2" v="404"/>
    </bk>
    <bk>
      <rc t="2" v="405"/>
    </bk>
    <bk>
      <rc t="2" v="406"/>
    </bk>
    <bk>
      <rc t="2" v="407"/>
    </bk>
    <bk>
      <rc t="2" v="408"/>
    </bk>
    <bk>
      <rc t="2" v="409"/>
    </bk>
    <bk>
      <rc t="2" v="410"/>
    </bk>
    <bk>
      <rc t="2" v="411"/>
    </bk>
    <bk>
      <rc t="2" v="412"/>
    </bk>
    <bk>
      <rc t="2" v="413"/>
    </bk>
    <bk>
      <rc t="2" v="414"/>
    </bk>
    <bk>
      <rc t="2" v="415"/>
    </bk>
    <bk>
      <rc t="2" v="416"/>
    </bk>
    <bk>
      <rc t="2" v="417"/>
    </bk>
    <bk>
      <rc t="2" v="418"/>
    </bk>
    <bk>
      <rc t="2" v="419"/>
    </bk>
    <bk>
      <rc t="2" v="420"/>
    </bk>
    <bk>
      <rc t="2" v="421"/>
    </bk>
    <bk>
      <rc t="2" v="422"/>
    </bk>
    <bk>
      <rc t="2" v="423"/>
    </bk>
    <bk>
      <rc t="2" v="424"/>
    </bk>
    <bk>
      <rc t="2" v="425"/>
    </bk>
    <bk>
      <rc t="2" v="426"/>
    </bk>
    <bk>
      <rc t="2" v="427"/>
    </bk>
    <bk>
      <rc t="2" v="428"/>
    </bk>
    <bk>
      <rc t="2" v="429"/>
    </bk>
    <bk>
      <rc t="2" v="430"/>
    </bk>
    <bk>
      <rc t="2" v="431"/>
    </bk>
    <bk>
      <rc t="2" v="432"/>
    </bk>
    <bk>
      <rc t="2" v="433"/>
    </bk>
    <bk>
      <rc t="2" v="434"/>
    </bk>
    <bk>
      <rc t="2" v="435"/>
    </bk>
    <bk>
      <rc t="2" v="436"/>
    </bk>
    <bk>
      <rc t="2" v="437"/>
    </bk>
    <bk>
      <rc t="2" v="438"/>
    </bk>
    <bk>
      <rc t="2" v="439"/>
    </bk>
    <bk>
      <rc t="2" v="440"/>
    </bk>
    <bk>
      <rc t="2" v="441"/>
    </bk>
    <bk>
      <rc t="2" v="442"/>
    </bk>
    <bk>
      <rc t="2" v="443"/>
    </bk>
    <bk>
      <rc t="2" v="444"/>
    </bk>
  </valueMetadata>
</metadata>
</file>

<file path=xl/sharedStrings.xml><?xml version="1.0" encoding="utf-8"?>
<sst xmlns="http://schemas.openxmlformats.org/spreadsheetml/2006/main" count="84" uniqueCount="67">
  <si>
    <t>WORKBOOK OVERVIEW</t>
  </si>
  <si>
    <t xml:space="preserve">
This workbook evaluates the risk–return profile of a two-asset portfolio using historical weekly return data. Under sheet "WEEKLY_RETURNS", return distributions are analysed to estimate volatility, correlation, and Value at Risk (VaR). Under sheet "Risk_and_Portfolio_Metrics", portfolio optimisation techniques are then applied to construct the efficient frontier, identify minimum-variance and maximum risk-adjusted portfolios, and assess diversification effects. The impact of introducing a risk-free asset is examined, and sensitivity analysis is performed to evaluate changes in portfolio performance under varying assumptions. Key results are summarised on this sheet, with supporting calculations provided in subsequent worksheets.</t>
  </si>
  <si>
    <t>ASSET 1 STOCK TICKER: AMZN</t>
  </si>
  <si>
    <t>ASSET 2 STOCK TICKER: TSLA</t>
  </si>
  <si>
    <t>Below are histograms based on 150 weeks worth of weekly return data, as plotted in WEEKLY_RETURNS sheet</t>
  </si>
  <si>
    <t>Below are Mean and SD and VaR as calculated in WEEKLY_Returns sheet</t>
  </si>
  <si>
    <t>Mean</t>
  </si>
  <si>
    <t>StdDev</t>
  </si>
  <si>
    <t>Corelation</t>
  </si>
  <si>
    <t>VaR of the loss on the rate of returns at confidence level 95%, viewing the histograms as Probability mass functions</t>
  </si>
  <si>
    <t>VaR</t>
  </si>
  <si>
    <t>Below is the efficient frontier in the μ-σ plane, plotted after computing the expected returns,the standard deviations, and the Sharpe ratios                                                                       (Check Sheet : Risk_and_Portfolio_Metrics)</t>
  </si>
  <si>
    <t>Suppose a money market account with weekly interest rate 0.1% is added, what is the market portfolio and its Sharpe ratio?</t>
  </si>
  <si>
    <t>Interest rate</t>
  </si>
  <si>
    <t>Market portfolio</t>
  </si>
  <si>
    <t>(90%, 10%)</t>
  </si>
  <si>
    <t>omega1</t>
  </si>
  <si>
    <t>Expected return</t>
  </si>
  <si>
    <t>Std.Dev</t>
  </si>
  <si>
    <t>Sharpe ratio</t>
  </si>
  <si>
    <t>How does the sharpe ratio change if the weekly interest rate decreases? Let us decrease our interest rate tenfold and observe</t>
  </si>
  <si>
    <t>Sharpe ratio increases as interest rate decreases</t>
  </si>
  <si>
    <t>Amazon Returns</t>
  </si>
  <si>
    <t>Tesla Returns</t>
  </si>
  <si>
    <t>Bank rate</t>
  </si>
  <si>
    <t>AMZN</t>
  </si>
  <si>
    <t>TSLA</t>
  </si>
  <si>
    <t>Average</t>
  </si>
  <si>
    <t>Std. Dev</t>
  </si>
  <si>
    <t>Confidence level</t>
  </si>
  <si>
    <t>Confidence Level</t>
  </si>
  <si>
    <t>lower bound</t>
  </si>
  <si>
    <t>Lower Bound</t>
  </si>
  <si>
    <t>Upper Bound</t>
  </si>
  <si>
    <t>Correlation of Amazon and Tesla stock weekly rate or returns</t>
  </si>
  <si>
    <t>Histogram table for AMZN</t>
  </si>
  <si>
    <t>Histogram table for TSLA</t>
  </si>
  <si>
    <t>Bin</t>
  </si>
  <si>
    <t>Frequency</t>
  </si>
  <si>
    <t>Probability</t>
  </si>
  <si>
    <t>omega2</t>
  </si>
  <si>
    <t>Sharpe ratio(Risk Free Rate assumed to be 0)</t>
  </si>
  <si>
    <t>Sharpe Ratio(Risk Free return at weekly interest rate 0.1%)</t>
  </si>
  <si>
    <t>Sharpe Ratio(Risk Free return at weekly interest rate 0.05%)</t>
  </si>
  <si>
    <t>Risk free return at 0.1%</t>
  </si>
  <si>
    <t>Risk free return at 0.05%</t>
  </si>
  <si>
    <t xml:space="preserve">Max Sharpe ratio </t>
  </si>
  <si>
    <t>Omega 1</t>
  </si>
  <si>
    <t xml:space="preserve">Expected Return </t>
  </si>
  <si>
    <t>St Dev</t>
  </si>
  <si>
    <t>Ratio at R = 0.1%</t>
  </si>
  <si>
    <t>Ratio at R = 0.05%</t>
  </si>
  <si>
    <t>Portfolio Variance</t>
  </si>
  <si>
    <t>Cov(A,A)</t>
  </si>
  <si>
    <t>Interest RATE</t>
  </si>
  <si>
    <t>Cov(B,B)</t>
  </si>
  <si>
    <t>Cov(A,B)</t>
  </si>
  <si>
    <t>Covariance Matrix</t>
  </si>
  <si>
    <t>Stock A</t>
  </si>
  <si>
    <t>B</t>
  </si>
  <si>
    <t>Bank A/c</t>
  </si>
  <si>
    <t>Bank a/c</t>
  </si>
  <si>
    <t>Stock B</t>
  </si>
  <si>
    <t>Expected Return</t>
  </si>
  <si>
    <t>Variance of Return</t>
  </si>
  <si>
    <t>Portfolio Allocation</t>
  </si>
  <si>
    <t>Portfolio Expt. Return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</si>
</sst>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scheme val="minor"/>
    </font>
    <font>
      <sz val="11"/>
      <color rgb="FF006100"/>
      <name val="Calibri"/>
      <family val="2"/>
      <scheme val="minor"/>
    </font>
    <font>
      <b/>
      <sz val="11"/>
      <color theme="0"/>
      <name val="Calibri"/>
      <family val="2"/>
      <scheme val="minor"/>
    </font>
    <font>
      <b/>
      <sz val="11"/>
      <color theme="1"/>
      <name val="Calibri"/>
      <family val="2"/>
      <scheme val="minor"/>
    </font>
    <font>
      <sz val="14"/>
      <color rgb="FF006100"/>
      <name val="Calibri"/>
      <family val="2"/>
      <scheme val="minor"/>
    </font>
    <font>
      <b/>
      <sz val="12"/>
      <color theme="1"/>
      <name val="Calibri"/>
      <family val="2"/>
      <scheme val="minor"/>
    </font>
    <font>
      <b/>
      <sz val="12"/>
      <color theme="0"/>
      <name val="Calibri"/>
      <family val="2"/>
      <scheme val="minor"/>
    </font>
    <font>
      <sz val="12"/>
      <color theme="1"/>
      <name val="Calibri"/>
      <family val="2"/>
      <scheme val="minor"/>
    </font>
    <font>
      <sz val="11"/>
      <color rgb="FF9C5700"/>
      <name val="Calibri"/>
      <family val="2"/>
      <scheme val="minor"/>
    </font>
    <font>
      <sz val="11"/>
      <color theme="5"/>
      <name val="Calibri"/>
      <family val="2"/>
      <scheme val="minor"/>
    </font>
    <font>
      <sz val="11"/>
      <color rgb="FF000000"/>
      <name val="Calibri"/>
      <family val="2"/>
      <scheme val="minor"/>
    </font>
    <font>
      <b/>
      <sz val="11"/>
      <color theme="5"/>
      <name val="Calibri"/>
      <family val="2"/>
    </font>
    <font>
      <b/>
      <sz val="11"/>
      <color theme="5"/>
      <name val="Calibri"/>
      <family val="2"/>
      <scheme val="minor"/>
    </font>
    <font>
      <b/>
      <sz val="11"/>
      <color theme="2" tint="-0.249977111117893"/>
      <name val="Calibri"/>
      <family val="2"/>
      <scheme val="minor"/>
    </font>
    <font>
      <b/>
      <sz val="11"/>
      <color theme="2" tint="-0.249977111117893"/>
      <name val="Calibri"/>
      <family val="2"/>
    </font>
    <font>
      <sz val="11"/>
      <color theme="2" tint="-0.249977111117893"/>
      <name val="Calibri"/>
      <family val="2"/>
      <scheme val="minor"/>
    </font>
    <font>
      <b/>
      <sz val="11"/>
      <color rgb="FFFA7D00"/>
      <name val="Calibri"/>
      <family val="2"/>
      <scheme val="minor"/>
    </font>
    <font>
      <b/>
      <u/>
      <sz val="11"/>
      <color theme="5"/>
      <name val="Calibri"/>
      <family val="2"/>
      <scheme val="minor"/>
    </font>
    <font>
      <sz val="10"/>
      <name val="Arial"/>
      <family val="2"/>
    </font>
    <font>
      <b/>
      <sz val="11"/>
      <color rgb="FFFFFFFF"/>
      <name val="Calibri"/>
      <scheme val="minor"/>
    </font>
    <font>
      <b/>
      <u val="double"/>
      <sz val="12"/>
      <color theme="0"/>
      <name val="Calibri"/>
      <family val="2"/>
      <scheme val="minor"/>
    </font>
    <font>
      <sz val="11"/>
      <color rgb="FF000000"/>
      <name val="Calibri"/>
      <charset val="1"/>
    </font>
  </fonts>
  <fills count="16">
    <fill>
      <patternFill patternType="none"/>
    </fill>
    <fill>
      <patternFill patternType="gray125"/>
    </fill>
    <fill>
      <patternFill patternType="solid">
        <fgColor rgb="FFC6EFCE"/>
      </patternFill>
    </fill>
    <fill>
      <patternFill patternType="solid">
        <fgColor rgb="FFA5A5A5"/>
      </patternFill>
    </fill>
    <fill>
      <patternFill patternType="solid">
        <fgColor rgb="FFFFEB9C"/>
      </patternFill>
    </fill>
    <fill>
      <patternFill patternType="solid">
        <fgColor theme="5"/>
        <bgColor indexed="64"/>
      </patternFill>
    </fill>
    <fill>
      <patternFill patternType="solid">
        <fgColor theme="2" tint="-9.9978637043366805E-2"/>
        <bgColor indexed="64"/>
      </patternFill>
    </fill>
    <fill>
      <patternFill patternType="solid">
        <fgColor theme="0"/>
        <bgColor indexed="64"/>
      </patternFill>
    </fill>
    <fill>
      <patternFill patternType="solid">
        <fgColor rgb="FFF2F2F2"/>
      </patternFill>
    </fill>
    <fill>
      <patternFill patternType="solid">
        <fgColor rgb="FFFFFFFF"/>
        <bgColor rgb="FF000000"/>
      </patternFill>
    </fill>
    <fill>
      <patternFill patternType="solid">
        <fgColor rgb="FFF2F2F2"/>
        <bgColor rgb="FF000000"/>
      </patternFill>
    </fill>
    <fill>
      <patternFill patternType="solid">
        <fgColor theme="2"/>
        <bgColor indexed="64"/>
      </patternFill>
    </fill>
    <fill>
      <patternFill patternType="solid">
        <fgColor theme="9"/>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1" tint="0.34998626667073579"/>
        <bgColor indexed="64"/>
      </patternFill>
    </fill>
  </fills>
  <borders count="14">
    <border>
      <left/>
      <right/>
      <top/>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7F7F7F"/>
      </left>
      <right style="thin">
        <color rgb="FF7F7F7F"/>
      </right>
      <top style="thin">
        <color rgb="FF7F7F7F"/>
      </top>
      <bottom style="thin">
        <color rgb="FF7F7F7F"/>
      </bottom>
      <diagonal/>
    </border>
    <border>
      <left/>
      <right/>
      <top style="thin">
        <color rgb="FF000000"/>
      </top>
      <bottom style="thin">
        <color rgb="FF000000"/>
      </bottom>
      <diagonal/>
    </border>
    <border>
      <left style="thin">
        <color indexed="64"/>
      </left>
      <right/>
      <top/>
      <bottom/>
      <diagonal/>
    </border>
  </borders>
  <cellStyleXfs count="5">
    <xf numFmtId="0" fontId="0" fillId="0" borderId="0"/>
    <xf numFmtId="0" fontId="1" fillId="2" borderId="0" applyNumberFormat="0" applyBorder="0" applyAlignment="0" applyProtection="0"/>
    <xf numFmtId="0" fontId="2" fillId="3" borderId="1" applyNumberFormat="0" applyAlignment="0" applyProtection="0"/>
    <xf numFmtId="0" fontId="8" fillId="4" borderId="0" applyNumberFormat="0" applyBorder="0" applyAlignment="0" applyProtection="0"/>
    <xf numFmtId="0" fontId="16" fillId="8" borderId="11" applyNumberFormat="0" applyAlignment="0" applyProtection="0"/>
  </cellStyleXfs>
  <cellXfs count="63">
    <xf numFmtId="0" fontId="0" fillId="0" borderId="0" xfId="0"/>
    <xf numFmtId="0" fontId="3" fillId="0" borderId="0" xfId="0" applyFont="1"/>
    <xf numFmtId="0" fontId="5" fillId="0" borderId="0" xfId="0" applyFont="1"/>
    <xf numFmtId="0" fontId="7" fillId="0" borderId="0" xfId="0" applyFont="1"/>
    <xf numFmtId="0" fontId="0" fillId="0" borderId="3" xfId="0" applyBorder="1"/>
    <xf numFmtId="0" fontId="0" fillId="0" borderId="4" xfId="0" applyBorder="1"/>
    <xf numFmtId="0" fontId="0" fillId="0" borderId="5" xfId="0" applyBorder="1"/>
    <xf numFmtId="0" fontId="0" fillId="0" borderId="2" xfId="0" applyBorder="1" applyAlignment="1">
      <alignment horizontal="center" vertical="center"/>
    </xf>
    <xf numFmtId="0" fontId="0" fillId="0" borderId="6" xfId="0" applyBorder="1"/>
    <xf numFmtId="0" fontId="0" fillId="0" borderId="6" xfId="0" applyBorder="1" applyAlignment="1">
      <alignment horizontal="center" vertical="center"/>
    </xf>
    <xf numFmtId="0" fontId="0" fillId="0" borderId="7" xfId="0" applyBorder="1"/>
    <xf numFmtId="10" fontId="0" fillId="0" borderId="0" xfId="0" applyNumberFormat="1"/>
    <xf numFmtId="0" fontId="0" fillId="0" borderId="8" xfId="0" applyBorder="1"/>
    <xf numFmtId="0" fontId="0" fillId="0" borderId="10" xfId="0" applyBorder="1"/>
    <xf numFmtId="10" fontId="0" fillId="0" borderId="8" xfId="0" applyNumberFormat="1" applyBorder="1"/>
    <xf numFmtId="0" fontId="10" fillId="5" borderId="8" xfId="0" applyFont="1" applyFill="1" applyBorder="1"/>
    <xf numFmtId="0" fontId="0" fillId="6" borderId="8" xfId="0" applyFill="1" applyBorder="1"/>
    <xf numFmtId="0" fontId="13" fillId="0" borderId="8" xfId="0" applyFont="1" applyBorder="1"/>
    <xf numFmtId="0" fontId="14" fillId="7" borderId="8" xfId="0" applyFont="1" applyFill="1" applyBorder="1"/>
    <xf numFmtId="0" fontId="15" fillId="0" borderId="8" xfId="0" applyFont="1" applyBorder="1"/>
    <xf numFmtId="0" fontId="0" fillId="7" borderId="8" xfId="0" applyFill="1" applyBorder="1"/>
    <xf numFmtId="0" fontId="12" fillId="7" borderId="9" xfId="0" applyFont="1" applyFill="1" applyBorder="1"/>
    <xf numFmtId="0" fontId="11" fillId="7" borderId="9" xfId="0" applyFont="1" applyFill="1" applyBorder="1"/>
    <xf numFmtId="0" fontId="9" fillId="7" borderId="9" xfId="0" applyFont="1" applyFill="1" applyBorder="1"/>
    <xf numFmtId="9" fontId="0" fillId="0" borderId="8" xfId="0" applyNumberFormat="1" applyBorder="1"/>
    <xf numFmtId="0" fontId="0" fillId="0" borderId="9" xfId="0" applyBorder="1"/>
    <xf numFmtId="10" fontId="0" fillId="0" borderId="9" xfId="0" applyNumberFormat="1" applyBorder="1"/>
    <xf numFmtId="0" fontId="1" fillId="2" borderId="8" xfId="1" applyBorder="1"/>
    <xf numFmtId="0" fontId="0" fillId="0" borderId="12" xfId="0" applyBorder="1"/>
    <xf numFmtId="0" fontId="0" fillId="0" borderId="2" xfId="0" applyBorder="1"/>
    <xf numFmtId="0" fontId="8" fillId="4" borderId="12" xfId="3" applyBorder="1"/>
    <xf numFmtId="0" fontId="2" fillId="3" borderId="1" xfId="2"/>
    <xf numFmtId="0" fontId="10" fillId="9" borderId="8" xfId="0" applyFont="1" applyFill="1" applyBorder="1"/>
    <xf numFmtId="0" fontId="10" fillId="0" borderId="10" xfId="0" applyFont="1" applyBorder="1"/>
    <xf numFmtId="0" fontId="16" fillId="8" borderId="11" xfId="4"/>
    <xf numFmtId="10" fontId="16" fillId="8" borderId="11" xfId="4" applyNumberFormat="1"/>
    <xf numFmtId="9" fontId="0" fillId="0" borderId="7" xfId="0" applyNumberFormat="1" applyBorder="1"/>
    <xf numFmtId="0" fontId="16" fillId="10" borderId="11" xfId="0" applyFont="1" applyFill="1" applyBorder="1"/>
    <xf numFmtId="0" fontId="9" fillId="11" borderId="0" xfId="0" applyFont="1" applyFill="1"/>
    <xf numFmtId="2" fontId="9" fillId="11" borderId="0" xfId="0" applyNumberFormat="1" applyFont="1" applyFill="1"/>
    <xf numFmtId="0" fontId="2" fillId="12" borderId="0" xfId="0" applyFont="1" applyFill="1"/>
    <xf numFmtId="0" fontId="0" fillId="5" borderId="0" xfId="0" applyFill="1"/>
    <xf numFmtId="0" fontId="0" fillId="6" borderId="0" xfId="0" applyFill="1"/>
    <xf numFmtId="0" fontId="0" fillId="7" borderId="8" xfId="0" applyFill="1" applyBorder="1" applyAlignment="1">
      <alignment wrapText="1"/>
    </xf>
    <xf numFmtId="0" fontId="17" fillId="6" borderId="0" xfId="0" applyFont="1" applyFill="1"/>
    <xf numFmtId="0" fontId="18" fillId="0" borderId="2" xfId="0" applyFont="1" applyBorder="1"/>
    <xf numFmtId="0" fontId="0" fillId="13" borderId="2" xfId="0" applyFill="1" applyBorder="1"/>
    <xf numFmtId="10" fontId="0" fillId="6" borderId="0" xfId="0" applyNumberFormat="1" applyFill="1"/>
    <xf numFmtId="0" fontId="0" fillId="14" borderId="0" xfId="0" applyFill="1"/>
    <xf numFmtId="0" fontId="0" fillId="14" borderId="0" xfId="0" applyFill="1" applyAlignment="1">
      <alignment wrapText="1"/>
    </xf>
    <xf numFmtId="0" fontId="0" fillId="14" borderId="0" xfId="0" applyFill="1" applyAlignment="1">
      <alignment vertical="top" wrapText="1"/>
    </xf>
    <xf numFmtId="0" fontId="4" fillId="0" borderId="0" xfId="1" applyFont="1" applyFill="1"/>
    <xf numFmtId="0" fontId="10" fillId="14" borderId="0" xfId="3" applyFont="1" applyFill="1" applyAlignment="1">
      <alignment wrapText="1"/>
    </xf>
    <xf numFmtId="0" fontId="3" fillId="6" borderId="0" xfId="0" applyFont="1" applyFill="1"/>
    <xf numFmtId="0" fontId="21" fillId="6" borderId="0" xfId="0" applyFont="1" applyFill="1"/>
    <xf numFmtId="0" fontId="19" fillId="15" borderId="0" xfId="2" applyFont="1" applyFill="1" applyBorder="1" applyAlignment="1">
      <alignment horizontal="left" wrapText="1"/>
    </xf>
    <xf numFmtId="0" fontId="6" fillId="15" borderId="0" xfId="2" applyFont="1" applyFill="1" applyBorder="1" applyAlignment="1">
      <alignment horizontal="left" wrapText="1"/>
    </xf>
    <xf numFmtId="0" fontId="20" fillId="15" borderId="0" xfId="2" applyFont="1" applyFill="1" applyBorder="1" applyAlignment="1">
      <alignment horizontal="center"/>
    </xf>
    <xf numFmtId="0" fontId="0" fillId="5" borderId="8" xfId="0" applyFill="1" applyBorder="1" applyAlignment="1">
      <alignment horizontal="center"/>
    </xf>
    <xf numFmtId="0" fontId="0" fillId="6" borderId="8" xfId="0" applyFill="1" applyBorder="1" applyAlignment="1">
      <alignment horizontal="center"/>
    </xf>
    <xf numFmtId="0" fontId="12" fillId="6" borderId="0" xfId="0" applyFont="1" applyFill="1" applyAlignment="1">
      <alignment horizontal="center"/>
    </xf>
    <xf numFmtId="0" fontId="0" fillId="0" borderId="0" xfId="0" applyAlignment="1">
      <alignment horizontal="center"/>
    </xf>
    <xf numFmtId="0" fontId="0" fillId="0" borderId="13" xfId="0" applyBorder="1" applyAlignment="1">
      <alignment horizontal="center"/>
    </xf>
  </cellXfs>
  <cellStyles count="5">
    <cellStyle name="Calculation" xfId="4" builtinId="22"/>
    <cellStyle name="Check Cell" xfId="2" builtinId="23"/>
    <cellStyle name="Good" xfId="1" builtinId="26"/>
    <cellStyle name="Neutral" xfId="3"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microsoft.com/office/2017/06/relationships/rdSupportingPropertyBag" Target="richData/rdsupportingpropertybag.xml"/><Relationship Id="rId3" Type="http://schemas.openxmlformats.org/officeDocument/2006/relationships/worksheet" Target="worksheets/sheet3.xml"/><Relationship Id="rId7" Type="http://schemas.openxmlformats.org/officeDocument/2006/relationships/sheetMetadata" Target="metadata.xml"/><Relationship Id="rId12" Type="http://schemas.microsoft.com/office/2017/06/relationships/rdSupportingPropertyBagStructure" Target="richData/rdsupportingpropertybagstructur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ichStyles" Target="richData/richStyles.xml"/><Relationship Id="rId5" Type="http://schemas.openxmlformats.org/officeDocument/2006/relationships/styles" Target="styles.xml"/><Relationship Id="rId15" Type="http://schemas.openxmlformats.org/officeDocument/2006/relationships/calcChain" Target="calcChain.xml"/><Relationship Id="rId10" Type="http://schemas.microsoft.com/office/2017/06/relationships/rdArray" Target="richData/rdarray.xml"/><Relationship Id="rId4" Type="http://schemas.openxmlformats.org/officeDocument/2006/relationships/theme" Target="theme/theme1.xml"/><Relationship Id="rId9" Type="http://schemas.microsoft.com/office/2017/06/relationships/rdRichValueStructure" Target="richData/rdrichvaluestructure.xml"/><Relationship Id="rId14"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AMAZON WEEKLY RETURN</a:t>
            </a:r>
          </a:p>
        </c:rich>
      </c:tx>
      <c:layout>
        <c:manualLayout>
          <c:xMode val="edge"/>
          <c:yMode val="edge"/>
          <c:x val="0.30477777777777776"/>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WEEKLY_RETURNS!$J$17</c:f>
              <c:strCache>
                <c:ptCount val="1"/>
                <c:pt idx="0">
                  <c:v>Frequency</c:v>
                </c:pt>
              </c:strCache>
            </c:strRef>
          </c:tx>
          <c:spPr>
            <a:solidFill>
              <a:schemeClr val="accent1"/>
            </a:solidFill>
            <a:ln>
              <a:noFill/>
            </a:ln>
            <a:effectLst/>
          </c:spPr>
          <c:invertIfNegative val="0"/>
          <c:cat>
            <c:numRef>
              <c:f>WEEKLY_RETURNS!$I$18:$I$29</c:f>
              <c:numCache>
                <c:formatCode>0.00%</c:formatCode>
                <c:ptCount val="12"/>
                <c:pt idx="0">
                  <c:v>-1</c:v>
                </c:pt>
                <c:pt idx="1">
                  <c:v>-0.88300000000000001</c:v>
                </c:pt>
                <c:pt idx="2">
                  <c:v>-0.76600000000000001</c:v>
                </c:pt>
                <c:pt idx="3">
                  <c:v>-0.64900000000000002</c:v>
                </c:pt>
                <c:pt idx="4">
                  <c:v>-0.53200000000000003</c:v>
                </c:pt>
                <c:pt idx="5">
                  <c:v>-0.41500000000000004</c:v>
                </c:pt>
                <c:pt idx="6">
                  <c:v>-0.29800000000000004</c:v>
                </c:pt>
                <c:pt idx="7">
                  <c:v>-0.18100000000000005</c:v>
                </c:pt>
                <c:pt idx="8">
                  <c:v>-6.4000000000000043E-2</c:v>
                </c:pt>
                <c:pt idx="9">
                  <c:v>5.2999999999999964E-2</c:v>
                </c:pt>
                <c:pt idx="10">
                  <c:v>0.16999999999999998</c:v>
                </c:pt>
              </c:numCache>
            </c:numRef>
          </c:cat>
          <c:val>
            <c:numRef>
              <c:f>WEEKLY_RETURNS!$J$18:$J$29</c:f>
              <c:numCache>
                <c:formatCode>General</c:formatCode>
                <c:ptCount val="12"/>
                <c:pt idx="0">
                  <c:v>1</c:v>
                </c:pt>
                <c:pt idx="1">
                  <c:v>0</c:v>
                </c:pt>
                <c:pt idx="2">
                  <c:v>0</c:v>
                </c:pt>
                <c:pt idx="3">
                  <c:v>0</c:v>
                </c:pt>
                <c:pt idx="4">
                  <c:v>0</c:v>
                </c:pt>
                <c:pt idx="5">
                  <c:v>0</c:v>
                </c:pt>
                <c:pt idx="6">
                  <c:v>0</c:v>
                </c:pt>
                <c:pt idx="7">
                  <c:v>0</c:v>
                </c:pt>
                <c:pt idx="8">
                  <c:v>6</c:v>
                </c:pt>
                <c:pt idx="9">
                  <c:v>125</c:v>
                </c:pt>
                <c:pt idx="10">
                  <c:v>17</c:v>
                </c:pt>
                <c:pt idx="11">
                  <c:v>1</c:v>
                </c:pt>
              </c:numCache>
            </c:numRef>
          </c:val>
          <c:extLst>
            <c:ext xmlns:c16="http://schemas.microsoft.com/office/drawing/2014/chart" uri="{C3380CC4-5D6E-409C-BE32-E72D297353CC}">
              <c16:uniqueId val="{00000000-0530-406D-9CCA-0BF765175A26}"/>
            </c:ext>
          </c:extLst>
        </c:ser>
        <c:dLbls>
          <c:showLegendKey val="0"/>
          <c:showVal val="0"/>
          <c:showCatName val="0"/>
          <c:showSerName val="0"/>
          <c:showPercent val="0"/>
          <c:showBubbleSize val="0"/>
        </c:dLbls>
        <c:gapWidth val="33"/>
        <c:overlap val="-30"/>
        <c:axId val="1377472008"/>
        <c:axId val="1089720328"/>
      </c:barChart>
      <c:catAx>
        <c:axId val="1377472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Bin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720328"/>
        <c:crosses val="autoZero"/>
        <c:auto val="1"/>
        <c:lblAlgn val="ctr"/>
        <c:lblOffset val="100"/>
        <c:noMultiLvlLbl val="0"/>
      </c:catAx>
      <c:valAx>
        <c:axId val="10897203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Frequency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4720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TESLA WEEKLY RETURN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WEEKLY_RETURNS!$N$17</c:f>
              <c:strCache>
                <c:ptCount val="1"/>
                <c:pt idx="0">
                  <c:v>Frequency</c:v>
                </c:pt>
              </c:strCache>
            </c:strRef>
          </c:tx>
          <c:spPr>
            <a:solidFill>
              <a:schemeClr val="accent1"/>
            </a:solidFill>
            <a:ln>
              <a:noFill/>
            </a:ln>
            <a:effectLst/>
          </c:spPr>
          <c:invertIfNegative val="0"/>
          <c:cat>
            <c:numRef>
              <c:f>WEEKLY_RETURNS!$M$18:$M$29</c:f>
              <c:numCache>
                <c:formatCode>0.00%</c:formatCode>
                <c:ptCount val="12"/>
                <c:pt idx="0">
                  <c:v>-1</c:v>
                </c:pt>
                <c:pt idx="1">
                  <c:v>-0.871</c:v>
                </c:pt>
                <c:pt idx="2">
                  <c:v>-0.74199999999999999</c:v>
                </c:pt>
                <c:pt idx="3">
                  <c:v>-0.61299999999999999</c:v>
                </c:pt>
                <c:pt idx="4">
                  <c:v>-0.48399999999999999</c:v>
                </c:pt>
                <c:pt idx="5">
                  <c:v>-0.35499999999999998</c:v>
                </c:pt>
                <c:pt idx="6">
                  <c:v>-0.22599999999999998</c:v>
                </c:pt>
                <c:pt idx="7">
                  <c:v>-9.6999999999999975E-2</c:v>
                </c:pt>
                <c:pt idx="8">
                  <c:v>3.2000000000000028E-2</c:v>
                </c:pt>
                <c:pt idx="9">
                  <c:v>0.16100000000000003</c:v>
                </c:pt>
                <c:pt idx="10">
                  <c:v>0.29000000000000004</c:v>
                </c:pt>
              </c:numCache>
            </c:numRef>
          </c:cat>
          <c:val>
            <c:numRef>
              <c:f>WEEKLY_RETURNS!$N$18:$N$29</c:f>
              <c:numCache>
                <c:formatCode>General</c:formatCode>
                <c:ptCount val="12"/>
                <c:pt idx="0">
                  <c:v>1</c:v>
                </c:pt>
                <c:pt idx="1">
                  <c:v>0</c:v>
                </c:pt>
                <c:pt idx="2">
                  <c:v>0</c:v>
                </c:pt>
                <c:pt idx="3">
                  <c:v>0</c:v>
                </c:pt>
                <c:pt idx="4">
                  <c:v>0</c:v>
                </c:pt>
                <c:pt idx="5">
                  <c:v>0</c:v>
                </c:pt>
                <c:pt idx="6">
                  <c:v>0</c:v>
                </c:pt>
                <c:pt idx="7">
                  <c:v>10</c:v>
                </c:pt>
                <c:pt idx="8">
                  <c:v>91</c:v>
                </c:pt>
                <c:pt idx="9">
                  <c:v>43</c:v>
                </c:pt>
                <c:pt idx="10">
                  <c:v>4</c:v>
                </c:pt>
                <c:pt idx="11">
                  <c:v>1</c:v>
                </c:pt>
              </c:numCache>
            </c:numRef>
          </c:val>
          <c:extLst>
            <c:ext xmlns:c16="http://schemas.microsoft.com/office/drawing/2014/chart" uri="{C3380CC4-5D6E-409C-BE32-E72D297353CC}">
              <c16:uniqueId val="{00000000-7869-41A5-9EB7-2D5164B5FE9D}"/>
            </c:ext>
          </c:extLst>
        </c:ser>
        <c:dLbls>
          <c:showLegendKey val="0"/>
          <c:showVal val="0"/>
          <c:showCatName val="0"/>
          <c:showSerName val="0"/>
          <c:showPercent val="0"/>
          <c:showBubbleSize val="0"/>
        </c:dLbls>
        <c:gapWidth val="33"/>
        <c:overlap val="-30"/>
        <c:axId val="23221256"/>
        <c:axId val="1030184455"/>
      </c:barChart>
      <c:catAx>
        <c:axId val="232212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Bin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0184455"/>
        <c:crosses val="autoZero"/>
        <c:auto val="1"/>
        <c:lblAlgn val="ctr"/>
        <c:lblOffset val="100"/>
        <c:noMultiLvlLbl val="0"/>
      </c:catAx>
      <c:valAx>
        <c:axId val="10301844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Frequency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212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GB"/>
              <a:t>Efficient</a:t>
            </a:r>
            <a:r>
              <a:rPr lang="en-GB" baseline="0"/>
              <a:t> Frontier Plot</a:t>
            </a:r>
            <a:endParaRPr lang="en-GB"/>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GB"/>
        </a:p>
      </c:txPr>
    </c:title>
    <c:autoTitleDeleted val="0"/>
    <c:plotArea>
      <c:layout>
        <c:manualLayout>
          <c:layoutTarget val="inner"/>
          <c:xMode val="edge"/>
          <c:yMode val="edge"/>
          <c:x val="9.8127966716926335E-2"/>
          <c:y val="9.402518650170158E-2"/>
          <c:w val="0.86822848606690117"/>
          <c:h val="0.8117307889766211"/>
        </c:manualLayout>
      </c:layout>
      <c:scatterChart>
        <c:scatterStyle val="smoothMarker"/>
        <c:varyColors val="0"/>
        <c:ser>
          <c:idx val="0"/>
          <c:order val="0"/>
          <c:tx>
            <c:v>Efficient Frontier Plot</c:v>
          </c:tx>
          <c:spPr>
            <a:ln w="22225" cap="rnd">
              <a:solidFill>
                <a:schemeClr val="accent1"/>
              </a:solid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dLbls>
            <c:dLbl>
              <c:idx val="38"/>
              <c:layout>
                <c:manualLayout>
                  <c:x val="-0.13568166992824529"/>
                  <c:y val="-0.12403100775193798"/>
                </c:manualLayout>
              </c:layout>
              <c:tx>
                <c:rich>
                  <a:bodyPr/>
                  <a:lstStyle/>
                  <a:p>
                    <a:fld id="{C5B23DCB-429D-4C3A-A63F-95D471FC3523}" type="SERIESNAME">
                      <a:rPr lang="en-US"/>
                      <a:pPr/>
                      <a:t>[]</a:t>
                    </a:fld>
                    <a:endParaRP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F648-42CC-A60A-6F5B9820070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xVal>
            <c:numRef>
              <c:f>Risk_and_Portfolio_Metrics!$D$2:$D$81</c:f>
              <c:numCache>
                <c:formatCode>General</c:formatCode>
                <c:ptCount val="80"/>
                <c:pt idx="0">
                  <c:v>0.15810729534561421</c:v>
                </c:pt>
                <c:pt idx="1">
                  <c:v>0.15522367891489602</c:v>
                </c:pt>
                <c:pt idx="2">
                  <c:v>0.15236884604994275</c:v>
                </c:pt>
                <c:pt idx="3">
                  <c:v>0.14954444521163104</c:v>
                </c:pt>
                <c:pt idx="4">
                  <c:v>0.1467522334994083</c:v>
                </c:pt>
                <c:pt idx="5">
                  <c:v>0.14399408347853104</c:v>
                </c:pt>
                <c:pt idx="6">
                  <c:v>0.14127199019241721</c:v>
                </c:pt>
                <c:pt idx="7">
                  <c:v>0.1385880782945548</c:v>
                </c:pt>
                <c:pt idx="8">
                  <c:v>0.13594460921336987</c:v>
                </c:pt>
                <c:pt idx="9">
                  <c:v>0.13334398823839419</c:v>
                </c:pt>
                <c:pt idx="10">
                  <c:v>0.13078877138658779</c:v>
                </c:pt>
                <c:pt idx="11">
                  <c:v>0.12828167187346837</c:v>
                </c:pt>
                <c:pt idx="12">
                  <c:v>0.12582556597463909</c:v>
                </c:pt>
                <c:pt idx="13">
                  <c:v>0.12342349801950706</c:v>
                </c:pt>
                <c:pt idx="14">
                  <c:v>0.12107868421093464</c:v>
                </c:pt>
                <c:pt idx="15">
                  <c:v>0.11879451491326597</c:v>
                </c:pt>
                <c:pt idx="16">
                  <c:v>0.11657455499830172</c:v>
                </c:pt>
                <c:pt idx="17">
                  <c:v>0.1144225417868915</c:v>
                </c:pt>
                <c:pt idx="18">
                  <c:v>0.11234238007644645</c:v>
                </c:pt>
                <c:pt idx="19">
                  <c:v>0.11033813370660003</c:v>
                </c:pt>
                <c:pt idx="20">
                  <c:v>0.10841401309248404</c:v>
                </c:pt>
                <c:pt idx="21">
                  <c:v>0.10657435815488646</c:v>
                </c:pt>
                <c:pt idx="22">
                  <c:v>0.10482361610716209</c:v>
                </c:pt>
                <c:pt idx="23">
                  <c:v>0.10316631362893768</c:v>
                </c:pt>
                <c:pt idx="24">
                  <c:v>0.10160702307485413</c:v>
                </c:pt>
                <c:pt idx="25">
                  <c:v>0.10015032253982264</c:v>
                </c:pt>
                <c:pt idx="26">
                  <c:v>9.880074983457382E-2</c:v>
                </c:pt>
                <c:pt idx="27">
                  <c:v>9.7562750715959906E-2</c:v>
                </c:pt>
                <c:pt idx="28">
                  <c:v>9.6440622058352521E-2</c:v>
                </c:pt>
                <c:pt idx="29">
                  <c:v>9.5438451030422825E-2</c:v>
                </c:pt>
                <c:pt idx="30">
                  <c:v>9.4560051731784694E-2</c:v>
                </c:pt>
                <c:pt idx="31">
                  <c:v>9.3808901114425955E-2</c:v>
                </c:pt>
                <c:pt idx="32">
                  <c:v>9.3188076326434915E-2</c:v>
                </c:pt>
                <c:pt idx="33">
                  <c:v>9.2700195829856433E-2</c:v>
                </c:pt>
                <c:pt idx="34">
                  <c:v>9.2347366723220498E-2</c:v>
                </c:pt>
                <c:pt idx="35">
                  <c:v>9.2131140614230819E-2</c:v>
                </c:pt>
                <c:pt idx="36">
                  <c:v>9.2052480126242855E-2</c:v>
                </c:pt>
                <c:pt idx="37">
                  <c:v>9.2111737689897402E-2</c:v>
                </c:pt>
                <c:pt idx="38">
                  <c:v>9.2308647695974605E-2</c:v>
                </c:pt>
                <c:pt idx="39">
                  <c:v>9.2642332413501019E-2</c:v>
                </c:pt>
                <c:pt idx="40">
                  <c:v>9.3111321368105543E-2</c:v>
                </c:pt>
                <c:pt idx="41">
                  <c:v>9.3713583194554084E-2</c:v>
                </c:pt>
                <c:pt idx="42">
                  <c:v>9.4446568385291557E-2</c:v>
                </c:pt>
                <c:pt idx="43">
                  <c:v>9.5307260902301988E-2</c:v>
                </c:pt>
                <c:pt idx="44">
                  <c:v>9.6292236332885792E-2</c:v>
                </c:pt>
                <c:pt idx="45">
                  <c:v>9.7397724160393842E-2</c:v>
                </c:pt>
                <c:pt idx="46">
                  <c:v>9.8619671778033019E-2</c:v>
                </c:pt>
                <c:pt idx="47">
                  <c:v>9.9953808071212194E-2</c:v>
                </c:pt>
                <c:pt idx="48">
                  <c:v>0.10139570469508781</c:v>
                </c:pt>
                <c:pt idx="49">
                  <c:v>0.10294083353867473</c:v>
                </c:pt>
                <c:pt idx="50">
                  <c:v>0.10458461925640782</c:v>
                </c:pt>
                <c:pt idx="51">
                  <c:v>0.10632248612934804</c:v>
                </c:pt>
                <c:pt idx="52">
                  <c:v>0.10814989886629568</c:v>
                </c:pt>
                <c:pt idx="53">
                  <c:v>0.11006239725356488</c:v>
                </c:pt>
                <c:pt idx="54">
                  <c:v>0.11205562480286307</c:v>
                </c:pt>
                <c:pt idx="55">
                  <c:v>0.11412535172811297</c:v>
                </c:pt>
                <c:pt idx="56">
                  <c:v>0.11626749270762628</c:v>
                </c:pt>
                <c:pt idx="57">
                  <c:v>0.11847811996447835</c:v>
                </c:pt>
                <c:pt idx="58">
                  <c:v>0.12075347223357047</c:v>
                </c:pt>
                <c:pt idx="59">
                  <c:v>0.12308996018748646</c:v>
                </c:pt>
                <c:pt idx="60">
                  <c:v>0.12548416887319799</c:v>
                </c:pt>
                <c:pt idx="61">
                  <c:v>0.12793285767536233</c:v>
                </c:pt>
                <c:pt idx="62">
                  <c:v>0.13043295827557819</c:v>
                </c:pt>
                <c:pt idx="63">
                  <c:v>0.13298157102546165</c:v>
                </c:pt>
                <c:pt idx="64">
                  <c:v>0.13557596009849249</c:v>
                </c:pt>
                <c:pt idx="65">
                  <c:v>0.13821354773394365</c:v>
                </c:pt>
                <c:pt idx="66">
                  <c:v>0.14089190783762282</c:v>
                </c:pt>
                <c:pt idx="67">
                  <c:v>0.14360875915971913</c:v>
                </c:pt>
                <c:pt idx="68">
                  <c:v>0.14636195823030723</c:v>
                </c:pt>
                <c:pt idx="69">
                  <c:v>0.14914949219817394</c:v>
                </c:pt>
                <c:pt idx="70">
                  <c:v>0.15196947168850414</c:v>
                </c:pt>
                <c:pt idx="71">
                  <c:v>0.15482012376929541</c:v>
                </c:pt>
                <c:pt idx="72">
                  <c:v>0.15769978509479257</c:v>
                </c:pt>
                <c:pt idx="73">
                  <c:v>0.16060689527630681</c:v>
                </c:pt>
                <c:pt idx="74">
                  <c:v>0.16353999051605805</c:v>
                </c:pt>
                <c:pt idx="75">
                  <c:v>0.16649769752773483</c:v>
                </c:pt>
                <c:pt idx="76">
                  <c:v>0.16947872775787745</c:v>
                </c:pt>
                <c:pt idx="77">
                  <c:v>0.17248187191460854</c:v>
                </c:pt>
                <c:pt idx="78">
                  <c:v>0.17550599480431731</c:v>
                </c:pt>
                <c:pt idx="79">
                  <c:v>0.17855003047237378</c:v>
                </c:pt>
              </c:numCache>
            </c:numRef>
          </c:xVal>
          <c:yVal>
            <c:numRef>
              <c:f>Risk_and_Portfolio_Metrics!$C$2:$C$81</c:f>
              <c:numCache>
                <c:formatCode>General</c:formatCode>
                <c:ptCount val="80"/>
                <c:pt idx="0">
                  <c:v>-9.0359119340863202E-4</c:v>
                </c:pt>
                <c:pt idx="1">
                  <c:v>-9.375411511980329E-4</c:v>
                </c:pt>
                <c:pt idx="2">
                  <c:v>-9.7149110898743377E-4</c:v>
                </c:pt>
                <c:pt idx="3">
                  <c:v>-1.0054410667768342E-3</c:v>
                </c:pt>
                <c:pt idx="4">
                  <c:v>-1.0393910245662351E-3</c:v>
                </c:pt>
                <c:pt idx="5">
                  <c:v>-1.073340982355636E-3</c:v>
                </c:pt>
                <c:pt idx="6">
                  <c:v>-1.1072909401450368E-3</c:v>
                </c:pt>
                <c:pt idx="7">
                  <c:v>-1.1412408979344377E-3</c:v>
                </c:pt>
                <c:pt idx="8">
                  <c:v>-1.1751908557238388E-3</c:v>
                </c:pt>
                <c:pt idx="9">
                  <c:v>-1.2091408135132395E-3</c:v>
                </c:pt>
                <c:pt idx="10">
                  <c:v>-1.2430907713026401E-3</c:v>
                </c:pt>
                <c:pt idx="11">
                  <c:v>-1.277040729092041E-3</c:v>
                </c:pt>
                <c:pt idx="12">
                  <c:v>-1.3109906868814416E-3</c:v>
                </c:pt>
                <c:pt idx="13">
                  <c:v>-1.3449406446708425E-3</c:v>
                </c:pt>
                <c:pt idx="14">
                  <c:v>-1.3788906024602434E-3</c:v>
                </c:pt>
                <c:pt idx="15">
                  <c:v>-1.4128405602496443E-3</c:v>
                </c:pt>
                <c:pt idx="16">
                  <c:v>-1.4467905180390451E-3</c:v>
                </c:pt>
                <c:pt idx="17">
                  <c:v>-1.4807404758284456E-3</c:v>
                </c:pt>
                <c:pt idx="18">
                  <c:v>-1.5146904336178465E-3</c:v>
                </c:pt>
                <c:pt idx="19">
                  <c:v>-1.5486403914072473E-3</c:v>
                </c:pt>
                <c:pt idx="20">
                  <c:v>-1.5825903491966482E-3</c:v>
                </c:pt>
                <c:pt idx="21">
                  <c:v>-1.6165403069860491E-3</c:v>
                </c:pt>
                <c:pt idx="22">
                  <c:v>-1.6504902647754497E-3</c:v>
                </c:pt>
                <c:pt idx="23">
                  <c:v>-1.6844402225648504E-3</c:v>
                </c:pt>
                <c:pt idx="24">
                  <c:v>-1.7183901803542513E-3</c:v>
                </c:pt>
                <c:pt idx="25">
                  <c:v>-1.7523401381436521E-3</c:v>
                </c:pt>
                <c:pt idx="26">
                  <c:v>-1.786290095933053E-3</c:v>
                </c:pt>
                <c:pt idx="27">
                  <c:v>-1.8202400537224537E-3</c:v>
                </c:pt>
                <c:pt idx="28">
                  <c:v>-1.8541900115118543E-3</c:v>
                </c:pt>
                <c:pt idx="29">
                  <c:v>-1.8881399693012552E-3</c:v>
                </c:pt>
                <c:pt idx="30">
                  <c:v>-1.9220899270906561E-3</c:v>
                </c:pt>
                <c:pt idx="31">
                  <c:v>-1.9560398848800569E-3</c:v>
                </c:pt>
                <c:pt idx="32">
                  <c:v>-1.9899898426694578E-3</c:v>
                </c:pt>
                <c:pt idx="33">
                  <c:v>-2.0239398004588587E-3</c:v>
                </c:pt>
                <c:pt idx="34">
                  <c:v>-2.0578897582482596E-3</c:v>
                </c:pt>
                <c:pt idx="35">
                  <c:v>-2.0918397160376604E-3</c:v>
                </c:pt>
                <c:pt idx="36">
                  <c:v>-2.1257896738270613E-3</c:v>
                </c:pt>
                <c:pt idx="37">
                  <c:v>-2.1597396316164622E-3</c:v>
                </c:pt>
                <c:pt idx="38">
                  <c:v>-2.1936895894058626E-3</c:v>
                </c:pt>
                <c:pt idx="39">
                  <c:v>-2.2276395471952644E-3</c:v>
                </c:pt>
                <c:pt idx="40">
                  <c:v>-2.2615895049846639E-3</c:v>
                </c:pt>
                <c:pt idx="41">
                  <c:v>-2.2955394627740648E-3</c:v>
                </c:pt>
                <c:pt idx="42">
                  <c:v>-2.3294894205634661E-3</c:v>
                </c:pt>
                <c:pt idx="43">
                  <c:v>-2.363439378352867E-3</c:v>
                </c:pt>
                <c:pt idx="44">
                  <c:v>-2.3973893361422679E-3</c:v>
                </c:pt>
                <c:pt idx="45">
                  <c:v>-2.4313392939316687E-3</c:v>
                </c:pt>
                <c:pt idx="46">
                  <c:v>-2.4652892517210696E-3</c:v>
                </c:pt>
                <c:pt idx="47">
                  <c:v>-2.4992392095104701E-3</c:v>
                </c:pt>
                <c:pt idx="48">
                  <c:v>-2.5331891672998709E-3</c:v>
                </c:pt>
                <c:pt idx="49">
                  <c:v>-2.5671391250892718E-3</c:v>
                </c:pt>
                <c:pt idx="50">
                  <c:v>-2.6010890828786727E-3</c:v>
                </c:pt>
                <c:pt idx="51">
                  <c:v>-2.6350390406680736E-3</c:v>
                </c:pt>
                <c:pt idx="52">
                  <c:v>-2.6689889984574744E-3</c:v>
                </c:pt>
                <c:pt idx="53">
                  <c:v>-2.7029389562468753E-3</c:v>
                </c:pt>
                <c:pt idx="54">
                  <c:v>-2.7368889140362762E-3</c:v>
                </c:pt>
                <c:pt idx="55">
                  <c:v>-2.770838871825677E-3</c:v>
                </c:pt>
                <c:pt idx="56">
                  <c:v>-2.8047888296150779E-3</c:v>
                </c:pt>
                <c:pt idx="57">
                  <c:v>-2.8387387874044784E-3</c:v>
                </c:pt>
                <c:pt idx="58">
                  <c:v>-2.8726887451938792E-3</c:v>
                </c:pt>
                <c:pt idx="59">
                  <c:v>-2.9066387029832797E-3</c:v>
                </c:pt>
                <c:pt idx="60">
                  <c:v>-2.9405886607726806E-3</c:v>
                </c:pt>
                <c:pt idx="61">
                  <c:v>-2.974538618562081E-3</c:v>
                </c:pt>
                <c:pt idx="62">
                  <c:v>-3.0084885763514823E-3</c:v>
                </c:pt>
                <c:pt idx="63">
                  <c:v>-3.0424385341408823E-3</c:v>
                </c:pt>
                <c:pt idx="64">
                  <c:v>-3.0763884919302836E-3</c:v>
                </c:pt>
                <c:pt idx="65">
                  <c:v>-3.1103384497196841E-3</c:v>
                </c:pt>
                <c:pt idx="66">
                  <c:v>-3.1442884075090849E-3</c:v>
                </c:pt>
                <c:pt idx="67">
                  <c:v>-3.1782383652984854E-3</c:v>
                </c:pt>
                <c:pt idx="68">
                  <c:v>-3.2121883230878858E-3</c:v>
                </c:pt>
                <c:pt idx="69">
                  <c:v>-3.2461382808772867E-3</c:v>
                </c:pt>
                <c:pt idx="70">
                  <c:v>-3.2800882386666871E-3</c:v>
                </c:pt>
                <c:pt idx="71">
                  <c:v>-3.3140381964560884E-3</c:v>
                </c:pt>
                <c:pt idx="72">
                  <c:v>-3.3479881542454884E-3</c:v>
                </c:pt>
                <c:pt idx="73">
                  <c:v>-3.3819381120348897E-3</c:v>
                </c:pt>
                <c:pt idx="74">
                  <c:v>-3.4158880698242902E-3</c:v>
                </c:pt>
                <c:pt idx="75">
                  <c:v>-3.4498380276136911E-3</c:v>
                </c:pt>
                <c:pt idx="76">
                  <c:v>-3.4837879854030915E-3</c:v>
                </c:pt>
                <c:pt idx="77">
                  <c:v>-3.5177379431924919E-3</c:v>
                </c:pt>
                <c:pt idx="78">
                  <c:v>-3.5516879009818928E-3</c:v>
                </c:pt>
                <c:pt idx="79">
                  <c:v>-3.5856378587712933E-3</c:v>
                </c:pt>
              </c:numCache>
            </c:numRef>
          </c:yVal>
          <c:smooth val="1"/>
          <c:extLst>
            <c:ext xmlns:c16="http://schemas.microsoft.com/office/drawing/2014/chart" uri="{C3380CC4-5D6E-409C-BE32-E72D297353CC}">
              <c16:uniqueId val="{00000000-0448-4690-9265-C0B08E913D7D}"/>
            </c:ext>
          </c:extLst>
        </c:ser>
        <c:ser>
          <c:idx val="1"/>
          <c:order val="1"/>
          <c:tx>
            <c:v>Global Minimum Variance</c:v>
          </c:tx>
          <c:spPr>
            <a:ln w="22225" cap="rnd">
              <a:solidFill>
                <a:schemeClr val="accent2"/>
              </a:solidFill>
            </a:ln>
            <a:effectLst>
              <a:glow rad="139700">
                <a:schemeClr val="accent2">
                  <a:satMod val="175000"/>
                  <a:alpha val="14000"/>
                </a:schemeClr>
              </a:glow>
            </a:effectLst>
          </c:spPr>
          <c:marker>
            <c:symbol val="circle"/>
            <c:size val="3"/>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xVal>
            <c:numRef>
              <c:f>Risk_and_Portfolio_Metrics!$D$40</c:f>
              <c:numCache>
                <c:formatCode>General</c:formatCode>
                <c:ptCount val="1"/>
                <c:pt idx="0">
                  <c:v>9.2308647695974605E-2</c:v>
                </c:pt>
              </c:numCache>
            </c:numRef>
          </c:xVal>
          <c:yVal>
            <c:numRef>
              <c:f>Risk_and_Portfolio_Metrics!$C$40</c:f>
              <c:numCache>
                <c:formatCode>General</c:formatCode>
                <c:ptCount val="1"/>
                <c:pt idx="0">
                  <c:v>-2.1936895894058626E-3</c:v>
                </c:pt>
              </c:numCache>
            </c:numRef>
          </c:yVal>
          <c:smooth val="1"/>
          <c:extLst>
            <c:ext xmlns:c16="http://schemas.microsoft.com/office/drawing/2014/chart" uri="{C3380CC4-5D6E-409C-BE32-E72D297353CC}">
              <c16:uniqueId val="{00000001-0448-4690-9265-C0B08E913D7D}"/>
            </c:ext>
          </c:extLst>
        </c:ser>
        <c:dLbls>
          <c:showLegendKey val="0"/>
          <c:showVal val="0"/>
          <c:showCatName val="0"/>
          <c:showSerName val="0"/>
          <c:showPercent val="0"/>
          <c:showBubbleSize val="0"/>
        </c:dLbls>
        <c:axId val="277828544"/>
        <c:axId val="277826744"/>
      </c:scatterChart>
      <c:valAx>
        <c:axId val="277828544"/>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GB"/>
                  <a:t>Standard Deviation</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77826744"/>
        <c:crosses val="autoZero"/>
        <c:crossBetween val="midCat"/>
      </c:valAx>
      <c:valAx>
        <c:axId val="277826744"/>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GB"/>
                  <a:t>Expected Return</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7782854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AMAZON WEEKLY RETURN</a:t>
            </a:r>
          </a:p>
        </c:rich>
      </c:tx>
      <c:layout>
        <c:manualLayout>
          <c:xMode val="edge"/>
          <c:yMode val="edge"/>
          <c:x val="0.30477777777777776"/>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WEEKLY_RETURNS!$J$17</c:f>
              <c:strCache>
                <c:ptCount val="1"/>
                <c:pt idx="0">
                  <c:v>Frequency</c:v>
                </c:pt>
              </c:strCache>
            </c:strRef>
          </c:tx>
          <c:spPr>
            <a:solidFill>
              <a:schemeClr val="accent1"/>
            </a:solidFill>
            <a:ln>
              <a:noFill/>
            </a:ln>
            <a:effectLst/>
          </c:spPr>
          <c:invertIfNegative val="0"/>
          <c:cat>
            <c:numRef>
              <c:f>WEEKLY_RETURNS!$I$18:$I$29</c:f>
              <c:numCache>
                <c:formatCode>0.00%</c:formatCode>
                <c:ptCount val="12"/>
                <c:pt idx="0">
                  <c:v>-1</c:v>
                </c:pt>
                <c:pt idx="1">
                  <c:v>-0.88300000000000001</c:v>
                </c:pt>
                <c:pt idx="2">
                  <c:v>-0.76600000000000001</c:v>
                </c:pt>
                <c:pt idx="3">
                  <c:v>-0.64900000000000002</c:v>
                </c:pt>
                <c:pt idx="4">
                  <c:v>-0.53200000000000003</c:v>
                </c:pt>
                <c:pt idx="5">
                  <c:v>-0.41500000000000004</c:v>
                </c:pt>
                <c:pt idx="6">
                  <c:v>-0.29800000000000004</c:v>
                </c:pt>
                <c:pt idx="7">
                  <c:v>-0.18100000000000005</c:v>
                </c:pt>
                <c:pt idx="8">
                  <c:v>-6.4000000000000043E-2</c:v>
                </c:pt>
                <c:pt idx="9">
                  <c:v>5.2999999999999964E-2</c:v>
                </c:pt>
                <c:pt idx="10">
                  <c:v>0.16999999999999998</c:v>
                </c:pt>
              </c:numCache>
            </c:numRef>
          </c:cat>
          <c:val>
            <c:numRef>
              <c:f>WEEKLY_RETURNS!$J$18:$J$29</c:f>
              <c:numCache>
                <c:formatCode>General</c:formatCode>
                <c:ptCount val="12"/>
                <c:pt idx="0">
                  <c:v>1</c:v>
                </c:pt>
                <c:pt idx="1">
                  <c:v>0</c:v>
                </c:pt>
                <c:pt idx="2">
                  <c:v>0</c:v>
                </c:pt>
                <c:pt idx="3">
                  <c:v>0</c:v>
                </c:pt>
                <c:pt idx="4">
                  <c:v>0</c:v>
                </c:pt>
                <c:pt idx="5">
                  <c:v>0</c:v>
                </c:pt>
                <c:pt idx="6">
                  <c:v>0</c:v>
                </c:pt>
                <c:pt idx="7">
                  <c:v>0</c:v>
                </c:pt>
                <c:pt idx="8">
                  <c:v>6</c:v>
                </c:pt>
                <c:pt idx="9">
                  <c:v>125</c:v>
                </c:pt>
                <c:pt idx="10">
                  <c:v>17</c:v>
                </c:pt>
                <c:pt idx="11">
                  <c:v>1</c:v>
                </c:pt>
              </c:numCache>
            </c:numRef>
          </c:val>
          <c:extLst>
            <c:ext xmlns:c16="http://schemas.microsoft.com/office/drawing/2014/chart" uri="{C3380CC4-5D6E-409C-BE32-E72D297353CC}">
              <c16:uniqueId val="{FD16CA6B-DDC0-4132-BC6A-4410BF5A7C91}"/>
            </c:ext>
          </c:extLst>
        </c:ser>
        <c:dLbls>
          <c:showLegendKey val="0"/>
          <c:showVal val="0"/>
          <c:showCatName val="0"/>
          <c:showSerName val="0"/>
          <c:showPercent val="0"/>
          <c:showBubbleSize val="0"/>
        </c:dLbls>
        <c:gapWidth val="33"/>
        <c:overlap val="-30"/>
        <c:axId val="1377472008"/>
        <c:axId val="1089720328"/>
      </c:barChart>
      <c:catAx>
        <c:axId val="1377472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Bin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720328"/>
        <c:crosses val="autoZero"/>
        <c:auto val="1"/>
        <c:lblAlgn val="ctr"/>
        <c:lblOffset val="100"/>
        <c:noMultiLvlLbl val="0"/>
      </c:catAx>
      <c:valAx>
        <c:axId val="10897203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Frequency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4720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TESLA WEEKLY RETURN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WEEKLY_RETURNS!$N$17</c:f>
              <c:strCache>
                <c:ptCount val="1"/>
                <c:pt idx="0">
                  <c:v>Frequency</c:v>
                </c:pt>
              </c:strCache>
            </c:strRef>
          </c:tx>
          <c:spPr>
            <a:solidFill>
              <a:schemeClr val="accent1"/>
            </a:solidFill>
            <a:ln>
              <a:noFill/>
            </a:ln>
            <a:effectLst/>
          </c:spPr>
          <c:invertIfNegative val="0"/>
          <c:cat>
            <c:numRef>
              <c:f>WEEKLY_RETURNS!$M$18:$M$29</c:f>
              <c:numCache>
                <c:formatCode>0.00%</c:formatCode>
                <c:ptCount val="12"/>
                <c:pt idx="0">
                  <c:v>-1</c:v>
                </c:pt>
                <c:pt idx="1">
                  <c:v>-0.871</c:v>
                </c:pt>
                <c:pt idx="2">
                  <c:v>-0.74199999999999999</c:v>
                </c:pt>
                <c:pt idx="3">
                  <c:v>-0.61299999999999999</c:v>
                </c:pt>
                <c:pt idx="4">
                  <c:v>-0.48399999999999999</c:v>
                </c:pt>
                <c:pt idx="5">
                  <c:v>-0.35499999999999998</c:v>
                </c:pt>
                <c:pt idx="6">
                  <c:v>-0.22599999999999998</c:v>
                </c:pt>
                <c:pt idx="7">
                  <c:v>-9.6999999999999975E-2</c:v>
                </c:pt>
                <c:pt idx="8">
                  <c:v>3.2000000000000028E-2</c:v>
                </c:pt>
                <c:pt idx="9">
                  <c:v>0.16100000000000003</c:v>
                </c:pt>
                <c:pt idx="10">
                  <c:v>0.29000000000000004</c:v>
                </c:pt>
              </c:numCache>
            </c:numRef>
          </c:cat>
          <c:val>
            <c:numRef>
              <c:f>WEEKLY_RETURNS!$N$18:$N$29</c:f>
              <c:numCache>
                <c:formatCode>General</c:formatCode>
                <c:ptCount val="12"/>
                <c:pt idx="0">
                  <c:v>1</c:v>
                </c:pt>
                <c:pt idx="1">
                  <c:v>0</c:v>
                </c:pt>
                <c:pt idx="2">
                  <c:v>0</c:v>
                </c:pt>
                <c:pt idx="3">
                  <c:v>0</c:v>
                </c:pt>
                <c:pt idx="4">
                  <c:v>0</c:v>
                </c:pt>
                <c:pt idx="5">
                  <c:v>0</c:v>
                </c:pt>
                <c:pt idx="6">
                  <c:v>0</c:v>
                </c:pt>
                <c:pt idx="7">
                  <c:v>10</c:v>
                </c:pt>
                <c:pt idx="8">
                  <c:v>91</c:v>
                </c:pt>
                <c:pt idx="9">
                  <c:v>43</c:v>
                </c:pt>
                <c:pt idx="10">
                  <c:v>4</c:v>
                </c:pt>
                <c:pt idx="11">
                  <c:v>1</c:v>
                </c:pt>
              </c:numCache>
            </c:numRef>
          </c:val>
          <c:extLst>
            <c:ext xmlns:c16="http://schemas.microsoft.com/office/drawing/2014/chart" uri="{C3380CC4-5D6E-409C-BE32-E72D297353CC}">
              <c16:uniqueId val="{B2E93C0F-8B94-4315-920A-E7DFC1D6AE21}"/>
            </c:ext>
          </c:extLst>
        </c:ser>
        <c:dLbls>
          <c:showLegendKey val="0"/>
          <c:showVal val="0"/>
          <c:showCatName val="0"/>
          <c:showSerName val="0"/>
          <c:showPercent val="0"/>
          <c:showBubbleSize val="0"/>
        </c:dLbls>
        <c:gapWidth val="33"/>
        <c:overlap val="-30"/>
        <c:axId val="23221256"/>
        <c:axId val="1030184455"/>
      </c:barChart>
      <c:catAx>
        <c:axId val="232212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Bin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0184455"/>
        <c:crosses val="autoZero"/>
        <c:auto val="1"/>
        <c:lblAlgn val="ctr"/>
        <c:lblOffset val="100"/>
        <c:noMultiLvlLbl val="0"/>
      </c:catAx>
      <c:valAx>
        <c:axId val="10301844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Frequency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212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GB"/>
              <a:t>Efficient</a:t>
            </a:r>
            <a:r>
              <a:rPr lang="en-GB" baseline="0"/>
              <a:t> Frontier Plot</a:t>
            </a:r>
            <a:endParaRPr lang="en-GB"/>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GB"/>
        </a:p>
      </c:txPr>
    </c:title>
    <c:autoTitleDeleted val="0"/>
    <c:plotArea>
      <c:layout>
        <c:manualLayout>
          <c:layoutTarget val="inner"/>
          <c:xMode val="edge"/>
          <c:yMode val="edge"/>
          <c:x val="9.8127966716926335E-2"/>
          <c:y val="9.402518650170158E-2"/>
          <c:w val="0.86822848606690117"/>
          <c:h val="0.8117307889766211"/>
        </c:manualLayout>
      </c:layout>
      <c:scatterChart>
        <c:scatterStyle val="smoothMarker"/>
        <c:varyColors val="0"/>
        <c:ser>
          <c:idx val="0"/>
          <c:order val="0"/>
          <c:tx>
            <c:v>Efficient Frontier Plot</c:v>
          </c:tx>
          <c:spPr>
            <a:ln w="22225" cap="rnd">
              <a:solidFill>
                <a:schemeClr val="accent1"/>
              </a:solid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Risk_and_Portfolio_Metrics!$D$2:$D$81</c:f>
              <c:numCache>
                <c:formatCode>General</c:formatCode>
                <c:ptCount val="80"/>
                <c:pt idx="0">
                  <c:v>0.15810729534561421</c:v>
                </c:pt>
                <c:pt idx="1">
                  <c:v>0.15522367891489602</c:v>
                </c:pt>
                <c:pt idx="2">
                  <c:v>0.15236884604994275</c:v>
                </c:pt>
                <c:pt idx="3">
                  <c:v>0.14954444521163104</c:v>
                </c:pt>
                <c:pt idx="4">
                  <c:v>0.1467522334994083</c:v>
                </c:pt>
                <c:pt idx="5">
                  <c:v>0.14399408347853104</c:v>
                </c:pt>
                <c:pt idx="6">
                  <c:v>0.14127199019241721</c:v>
                </c:pt>
                <c:pt idx="7">
                  <c:v>0.1385880782945548</c:v>
                </c:pt>
                <c:pt idx="8">
                  <c:v>0.13594460921336987</c:v>
                </c:pt>
                <c:pt idx="9">
                  <c:v>0.13334398823839419</c:v>
                </c:pt>
                <c:pt idx="10">
                  <c:v>0.13078877138658779</c:v>
                </c:pt>
                <c:pt idx="11">
                  <c:v>0.12828167187346837</c:v>
                </c:pt>
                <c:pt idx="12">
                  <c:v>0.12582556597463909</c:v>
                </c:pt>
                <c:pt idx="13">
                  <c:v>0.12342349801950706</c:v>
                </c:pt>
                <c:pt idx="14">
                  <c:v>0.12107868421093464</c:v>
                </c:pt>
                <c:pt idx="15">
                  <c:v>0.11879451491326597</c:v>
                </c:pt>
                <c:pt idx="16">
                  <c:v>0.11657455499830172</c:v>
                </c:pt>
                <c:pt idx="17">
                  <c:v>0.1144225417868915</c:v>
                </c:pt>
                <c:pt idx="18">
                  <c:v>0.11234238007644645</c:v>
                </c:pt>
                <c:pt idx="19">
                  <c:v>0.11033813370660003</c:v>
                </c:pt>
                <c:pt idx="20">
                  <c:v>0.10841401309248404</c:v>
                </c:pt>
                <c:pt idx="21">
                  <c:v>0.10657435815488646</c:v>
                </c:pt>
                <c:pt idx="22">
                  <c:v>0.10482361610716209</c:v>
                </c:pt>
                <c:pt idx="23">
                  <c:v>0.10316631362893768</c:v>
                </c:pt>
                <c:pt idx="24">
                  <c:v>0.10160702307485413</c:v>
                </c:pt>
                <c:pt idx="25">
                  <c:v>0.10015032253982264</c:v>
                </c:pt>
                <c:pt idx="26">
                  <c:v>9.880074983457382E-2</c:v>
                </c:pt>
                <c:pt idx="27">
                  <c:v>9.7562750715959906E-2</c:v>
                </c:pt>
                <c:pt idx="28">
                  <c:v>9.6440622058352521E-2</c:v>
                </c:pt>
                <c:pt idx="29">
                  <c:v>9.5438451030422825E-2</c:v>
                </c:pt>
                <c:pt idx="30">
                  <c:v>9.4560051731784694E-2</c:v>
                </c:pt>
                <c:pt idx="31">
                  <c:v>9.3808901114425955E-2</c:v>
                </c:pt>
                <c:pt idx="32">
                  <c:v>9.3188076326434915E-2</c:v>
                </c:pt>
                <c:pt idx="33">
                  <c:v>9.2700195829856433E-2</c:v>
                </c:pt>
                <c:pt idx="34">
                  <c:v>9.2347366723220498E-2</c:v>
                </c:pt>
                <c:pt idx="35">
                  <c:v>9.2131140614230819E-2</c:v>
                </c:pt>
                <c:pt idx="36">
                  <c:v>9.2052480126242855E-2</c:v>
                </c:pt>
                <c:pt idx="37">
                  <c:v>9.2111737689897402E-2</c:v>
                </c:pt>
                <c:pt idx="38">
                  <c:v>9.2308647695974605E-2</c:v>
                </c:pt>
                <c:pt idx="39">
                  <c:v>9.2642332413501019E-2</c:v>
                </c:pt>
                <c:pt idx="40">
                  <c:v>9.3111321368105543E-2</c:v>
                </c:pt>
                <c:pt idx="41">
                  <c:v>9.3713583194554084E-2</c:v>
                </c:pt>
                <c:pt idx="42">
                  <c:v>9.4446568385291557E-2</c:v>
                </c:pt>
                <c:pt idx="43">
                  <c:v>9.5307260902301988E-2</c:v>
                </c:pt>
                <c:pt idx="44">
                  <c:v>9.6292236332885792E-2</c:v>
                </c:pt>
                <c:pt idx="45">
                  <c:v>9.7397724160393842E-2</c:v>
                </c:pt>
                <c:pt idx="46">
                  <c:v>9.8619671778033019E-2</c:v>
                </c:pt>
                <c:pt idx="47">
                  <c:v>9.9953808071212194E-2</c:v>
                </c:pt>
                <c:pt idx="48">
                  <c:v>0.10139570469508781</c:v>
                </c:pt>
                <c:pt idx="49">
                  <c:v>0.10294083353867473</c:v>
                </c:pt>
                <c:pt idx="50">
                  <c:v>0.10458461925640782</c:v>
                </c:pt>
                <c:pt idx="51">
                  <c:v>0.10632248612934804</c:v>
                </c:pt>
                <c:pt idx="52">
                  <c:v>0.10814989886629568</c:v>
                </c:pt>
                <c:pt idx="53">
                  <c:v>0.11006239725356488</c:v>
                </c:pt>
                <c:pt idx="54">
                  <c:v>0.11205562480286307</c:v>
                </c:pt>
                <c:pt idx="55">
                  <c:v>0.11412535172811297</c:v>
                </c:pt>
                <c:pt idx="56">
                  <c:v>0.11626749270762628</c:v>
                </c:pt>
                <c:pt idx="57">
                  <c:v>0.11847811996447835</c:v>
                </c:pt>
                <c:pt idx="58">
                  <c:v>0.12075347223357047</c:v>
                </c:pt>
                <c:pt idx="59">
                  <c:v>0.12308996018748646</c:v>
                </c:pt>
                <c:pt idx="60">
                  <c:v>0.12548416887319799</c:v>
                </c:pt>
                <c:pt idx="61">
                  <c:v>0.12793285767536233</c:v>
                </c:pt>
                <c:pt idx="62">
                  <c:v>0.13043295827557819</c:v>
                </c:pt>
                <c:pt idx="63">
                  <c:v>0.13298157102546165</c:v>
                </c:pt>
                <c:pt idx="64">
                  <c:v>0.13557596009849249</c:v>
                </c:pt>
                <c:pt idx="65">
                  <c:v>0.13821354773394365</c:v>
                </c:pt>
                <c:pt idx="66">
                  <c:v>0.14089190783762282</c:v>
                </c:pt>
                <c:pt idx="67">
                  <c:v>0.14360875915971913</c:v>
                </c:pt>
                <c:pt idx="68">
                  <c:v>0.14636195823030723</c:v>
                </c:pt>
                <c:pt idx="69">
                  <c:v>0.14914949219817394</c:v>
                </c:pt>
                <c:pt idx="70">
                  <c:v>0.15196947168850414</c:v>
                </c:pt>
                <c:pt idx="71">
                  <c:v>0.15482012376929541</c:v>
                </c:pt>
                <c:pt idx="72">
                  <c:v>0.15769978509479257</c:v>
                </c:pt>
                <c:pt idx="73">
                  <c:v>0.16060689527630681</c:v>
                </c:pt>
                <c:pt idx="74">
                  <c:v>0.16353999051605805</c:v>
                </c:pt>
                <c:pt idx="75">
                  <c:v>0.16649769752773483</c:v>
                </c:pt>
                <c:pt idx="76">
                  <c:v>0.16947872775787745</c:v>
                </c:pt>
                <c:pt idx="77">
                  <c:v>0.17248187191460854</c:v>
                </c:pt>
                <c:pt idx="78">
                  <c:v>0.17550599480431731</c:v>
                </c:pt>
                <c:pt idx="79">
                  <c:v>0.17855003047237378</c:v>
                </c:pt>
              </c:numCache>
            </c:numRef>
          </c:xVal>
          <c:yVal>
            <c:numRef>
              <c:f>Risk_and_Portfolio_Metrics!$C$2:$C$81</c:f>
              <c:numCache>
                <c:formatCode>General</c:formatCode>
                <c:ptCount val="80"/>
                <c:pt idx="0">
                  <c:v>-9.0359119340863202E-4</c:v>
                </c:pt>
                <c:pt idx="1">
                  <c:v>-9.375411511980329E-4</c:v>
                </c:pt>
                <c:pt idx="2">
                  <c:v>-9.7149110898743377E-4</c:v>
                </c:pt>
                <c:pt idx="3">
                  <c:v>-1.0054410667768342E-3</c:v>
                </c:pt>
                <c:pt idx="4">
                  <c:v>-1.0393910245662351E-3</c:v>
                </c:pt>
                <c:pt idx="5">
                  <c:v>-1.073340982355636E-3</c:v>
                </c:pt>
                <c:pt idx="6">
                  <c:v>-1.1072909401450368E-3</c:v>
                </c:pt>
                <c:pt idx="7">
                  <c:v>-1.1412408979344377E-3</c:v>
                </c:pt>
                <c:pt idx="8">
                  <c:v>-1.1751908557238388E-3</c:v>
                </c:pt>
                <c:pt idx="9">
                  <c:v>-1.2091408135132395E-3</c:v>
                </c:pt>
                <c:pt idx="10">
                  <c:v>-1.2430907713026401E-3</c:v>
                </c:pt>
                <c:pt idx="11">
                  <c:v>-1.277040729092041E-3</c:v>
                </c:pt>
                <c:pt idx="12">
                  <c:v>-1.3109906868814416E-3</c:v>
                </c:pt>
                <c:pt idx="13">
                  <c:v>-1.3449406446708425E-3</c:v>
                </c:pt>
                <c:pt idx="14">
                  <c:v>-1.3788906024602434E-3</c:v>
                </c:pt>
                <c:pt idx="15">
                  <c:v>-1.4128405602496443E-3</c:v>
                </c:pt>
                <c:pt idx="16">
                  <c:v>-1.4467905180390451E-3</c:v>
                </c:pt>
                <c:pt idx="17">
                  <c:v>-1.4807404758284456E-3</c:v>
                </c:pt>
                <c:pt idx="18">
                  <c:v>-1.5146904336178465E-3</c:v>
                </c:pt>
                <c:pt idx="19">
                  <c:v>-1.5486403914072473E-3</c:v>
                </c:pt>
                <c:pt idx="20">
                  <c:v>-1.5825903491966482E-3</c:v>
                </c:pt>
                <c:pt idx="21">
                  <c:v>-1.6165403069860491E-3</c:v>
                </c:pt>
                <c:pt idx="22">
                  <c:v>-1.6504902647754497E-3</c:v>
                </c:pt>
                <c:pt idx="23">
                  <c:v>-1.6844402225648504E-3</c:v>
                </c:pt>
                <c:pt idx="24">
                  <c:v>-1.7183901803542513E-3</c:v>
                </c:pt>
                <c:pt idx="25">
                  <c:v>-1.7523401381436521E-3</c:v>
                </c:pt>
                <c:pt idx="26">
                  <c:v>-1.786290095933053E-3</c:v>
                </c:pt>
                <c:pt idx="27">
                  <c:v>-1.8202400537224537E-3</c:v>
                </c:pt>
                <c:pt idx="28">
                  <c:v>-1.8541900115118543E-3</c:v>
                </c:pt>
                <c:pt idx="29">
                  <c:v>-1.8881399693012552E-3</c:v>
                </c:pt>
                <c:pt idx="30">
                  <c:v>-1.9220899270906561E-3</c:v>
                </c:pt>
                <c:pt idx="31">
                  <c:v>-1.9560398848800569E-3</c:v>
                </c:pt>
                <c:pt idx="32">
                  <c:v>-1.9899898426694578E-3</c:v>
                </c:pt>
                <c:pt idx="33">
                  <c:v>-2.0239398004588587E-3</c:v>
                </c:pt>
                <c:pt idx="34">
                  <c:v>-2.0578897582482596E-3</c:v>
                </c:pt>
                <c:pt idx="35">
                  <c:v>-2.0918397160376604E-3</c:v>
                </c:pt>
                <c:pt idx="36">
                  <c:v>-2.1257896738270613E-3</c:v>
                </c:pt>
                <c:pt idx="37">
                  <c:v>-2.1597396316164622E-3</c:v>
                </c:pt>
                <c:pt idx="38">
                  <c:v>-2.1936895894058626E-3</c:v>
                </c:pt>
                <c:pt idx="39">
                  <c:v>-2.2276395471952644E-3</c:v>
                </c:pt>
                <c:pt idx="40">
                  <c:v>-2.2615895049846639E-3</c:v>
                </c:pt>
                <c:pt idx="41">
                  <c:v>-2.2955394627740648E-3</c:v>
                </c:pt>
                <c:pt idx="42">
                  <c:v>-2.3294894205634661E-3</c:v>
                </c:pt>
                <c:pt idx="43">
                  <c:v>-2.363439378352867E-3</c:v>
                </c:pt>
                <c:pt idx="44">
                  <c:v>-2.3973893361422679E-3</c:v>
                </c:pt>
                <c:pt idx="45">
                  <c:v>-2.4313392939316687E-3</c:v>
                </c:pt>
                <c:pt idx="46">
                  <c:v>-2.4652892517210696E-3</c:v>
                </c:pt>
                <c:pt idx="47">
                  <c:v>-2.4992392095104701E-3</c:v>
                </c:pt>
                <c:pt idx="48">
                  <c:v>-2.5331891672998709E-3</c:v>
                </c:pt>
                <c:pt idx="49">
                  <c:v>-2.5671391250892718E-3</c:v>
                </c:pt>
                <c:pt idx="50">
                  <c:v>-2.6010890828786727E-3</c:v>
                </c:pt>
                <c:pt idx="51">
                  <c:v>-2.6350390406680736E-3</c:v>
                </c:pt>
                <c:pt idx="52">
                  <c:v>-2.6689889984574744E-3</c:v>
                </c:pt>
                <c:pt idx="53">
                  <c:v>-2.7029389562468753E-3</c:v>
                </c:pt>
                <c:pt idx="54">
                  <c:v>-2.7368889140362762E-3</c:v>
                </c:pt>
                <c:pt idx="55">
                  <c:v>-2.770838871825677E-3</c:v>
                </c:pt>
                <c:pt idx="56">
                  <c:v>-2.8047888296150779E-3</c:v>
                </c:pt>
                <c:pt idx="57">
                  <c:v>-2.8387387874044784E-3</c:v>
                </c:pt>
                <c:pt idx="58">
                  <c:v>-2.8726887451938792E-3</c:v>
                </c:pt>
                <c:pt idx="59">
                  <c:v>-2.9066387029832797E-3</c:v>
                </c:pt>
                <c:pt idx="60">
                  <c:v>-2.9405886607726806E-3</c:v>
                </c:pt>
                <c:pt idx="61">
                  <c:v>-2.974538618562081E-3</c:v>
                </c:pt>
                <c:pt idx="62">
                  <c:v>-3.0084885763514823E-3</c:v>
                </c:pt>
                <c:pt idx="63">
                  <c:v>-3.0424385341408823E-3</c:v>
                </c:pt>
                <c:pt idx="64">
                  <c:v>-3.0763884919302836E-3</c:v>
                </c:pt>
                <c:pt idx="65">
                  <c:v>-3.1103384497196841E-3</c:v>
                </c:pt>
                <c:pt idx="66">
                  <c:v>-3.1442884075090849E-3</c:v>
                </c:pt>
                <c:pt idx="67">
                  <c:v>-3.1782383652984854E-3</c:v>
                </c:pt>
                <c:pt idx="68">
                  <c:v>-3.2121883230878858E-3</c:v>
                </c:pt>
                <c:pt idx="69">
                  <c:v>-3.2461382808772867E-3</c:v>
                </c:pt>
                <c:pt idx="70">
                  <c:v>-3.2800882386666871E-3</c:v>
                </c:pt>
                <c:pt idx="71">
                  <c:v>-3.3140381964560884E-3</c:v>
                </c:pt>
                <c:pt idx="72">
                  <c:v>-3.3479881542454884E-3</c:v>
                </c:pt>
                <c:pt idx="73">
                  <c:v>-3.3819381120348897E-3</c:v>
                </c:pt>
                <c:pt idx="74">
                  <c:v>-3.4158880698242902E-3</c:v>
                </c:pt>
                <c:pt idx="75">
                  <c:v>-3.4498380276136911E-3</c:v>
                </c:pt>
                <c:pt idx="76">
                  <c:v>-3.4837879854030915E-3</c:v>
                </c:pt>
                <c:pt idx="77">
                  <c:v>-3.5177379431924919E-3</c:v>
                </c:pt>
                <c:pt idx="78">
                  <c:v>-3.5516879009818928E-3</c:v>
                </c:pt>
                <c:pt idx="79">
                  <c:v>-3.5856378587712933E-3</c:v>
                </c:pt>
              </c:numCache>
            </c:numRef>
          </c:yVal>
          <c:smooth val="1"/>
          <c:extLst>
            <c:ext xmlns:c16="http://schemas.microsoft.com/office/drawing/2014/chart" uri="{C3380CC4-5D6E-409C-BE32-E72D297353CC}">
              <c16:uniqueId val="{00000000-8CD1-4C7E-8636-D3FCF93B8221}"/>
            </c:ext>
          </c:extLst>
        </c:ser>
        <c:ser>
          <c:idx val="1"/>
          <c:order val="1"/>
          <c:tx>
            <c:v>Global Minimum Variance</c:v>
          </c:tx>
          <c:spPr>
            <a:ln w="22225" cap="rnd">
              <a:solidFill>
                <a:schemeClr val="accent2"/>
              </a:solidFill>
            </a:ln>
            <a:effectLst>
              <a:glow rad="139700">
                <a:schemeClr val="accent2">
                  <a:satMod val="175000"/>
                  <a:alpha val="14000"/>
                </a:schemeClr>
              </a:glow>
            </a:effectLst>
          </c:spPr>
          <c:marker>
            <c:symbol val="circle"/>
            <c:size val="3"/>
            <c:spPr>
              <a:solidFill>
                <a:schemeClr val="accent2">
                  <a:lumMod val="60000"/>
                  <a:lumOff val="40000"/>
                </a:schemeClr>
              </a:solidFill>
              <a:ln>
                <a:noFill/>
              </a:ln>
              <a:effectLst>
                <a:glow rad="63500">
                  <a:schemeClr val="accent2">
                    <a:satMod val="175000"/>
                    <a:alpha val="25000"/>
                  </a:schemeClr>
                </a:glow>
              </a:effectLst>
            </c:spPr>
          </c:marker>
          <c:xVal>
            <c:numRef>
              <c:f>Risk_and_Portfolio_Metrics!$D$40</c:f>
              <c:numCache>
                <c:formatCode>General</c:formatCode>
                <c:ptCount val="1"/>
                <c:pt idx="0">
                  <c:v>9.2308647695974605E-2</c:v>
                </c:pt>
              </c:numCache>
            </c:numRef>
          </c:xVal>
          <c:yVal>
            <c:numRef>
              <c:f>Risk_and_Portfolio_Metrics!$C$40</c:f>
              <c:numCache>
                <c:formatCode>General</c:formatCode>
                <c:ptCount val="1"/>
                <c:pt idx="0">
                  <c:v>-2.1936895894058626E-3</c:v>
                </c:pt>
              </c:numCache>
            </c:numRef>
          </c:yVal>
          <c:smooth val="1"/>
          <c:extLst>
            <c:ext xmlns:c16="http://schemas.microsoft.com/office/drawing/2014/chart" uri="{C3380CC4-5D6E-409C-BE32-E72D297353CC}">
              <c16:uniqueId val="{00000001-8CD1-4C7E-8636-D3FCF93B8221}"/>
            </c:ext>
          </c:extLst>
        </c:ser>
        <c:dLbls>
          <c:showLegendKey val="0"/>
          <c:showVal val="0"/>
          <c:showCatName val="0"/>
          <c:showSerName val="0"/>
          <c:showPercent val="0"/>
          <c:showBubbleSize val="0"/>
        </c:dLbls>
        <c:axId val="277828544"/>
        <c:axId val="277826744"/>
      </c:scatterChart>
      <c:valAx>
        <c:axId val="277828544"/>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GB"/>
                  <a:t>Standard Deviation</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77826744"/>
        <c:crosses val="autoZero"/>
        <c:crossBetween val="midCat"/>
      </c:valAx>
      <c:valAx>
        <c:axId val="277826744"/>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GB"/>
                  <a:t>Expected Return</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7782854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2</xdr:colOff>
      <xdr:row>13</xdr:row>
      <xdr:rowOff>9525</xdr:rowOff>
    </xdr:from>
    <xdr:to>
      <xdr:col>1</xdr:col>
      <xdr:colOff>4181476</xdr:colOff>
      <xdr:row>27</xdr:row>
      <xdr:rowOff>76200</xdr:rowOff>
    </xdr:to>
    <xdr:graphicFrame macro="">
      <xdr:nvGraphicFramePr>
        <xdr:cNvPr id="2" name="Chart 1" descr="Chart type: Clustered Column. 'Frequency'&#10;&#10;Description automatically generated">
          <a:extLst>
            <a:ext uri="{FF2B5EF4-FFF2-40B4-BE49-F238E27FC236}">
              <a16:creationId xmlns:a16="http://schemas.microsoft.com/office/drawing/2014/main" id="{2C20A458-6A9D-4848-8D40-8A27492AEE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13</xdr:row>
      <xdr:rowOff>0</xdr:rowOff>
    </xdr:from>
    <xdr:to>
      <xdr:col>7</xdr:col>
      <xdr:colOff>333375</xdr:colOff>
      <xdr:row>27</xdr:row>
      <xdr:rowOff>76200</xdr:rowOff>
    </xdr:to>
    <xdr:graphicFrame macro="">
      <xdr:nvGraphicFramePr>
        <xdr:cNvPr id="4" name="Chart 3" descr="Chart type: Clustered Column. 'Frequency'&#10;&#10;Description automatically generated">
          <a:extLst>
            <a:ext uri="{FF2B5EF4-FFF2-40B4-BE49-F238E27FC236}">
              <a16:creationId xmlns:a16="http://schemas.microsoft.com/office/drawing/2014/main" id="{4A623536-735B-43F3-A5ED-E86ADDA5D3CE}"/>
            </a:ext>
            <a:ext uri="{147F2762-F138-4A5C-976F-8EAC2B608ADB}">
              <a16:predDERef xmlns:a16="http://schemas.microsoft.com/office/drawing/2014/main" pred="{2C20A458-6A9D-4848-8D40-8A27492AEE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50</xdr:row>
      <xdr:rowOff>38100</xdr:rowOff>
    </xdr:from>
    <xdr:to>
      <xdr:col>3</xdr:col>
      <xdr:colOff>1352550</xdr:colOff>
      <xdr:row>69</xdr:row>
      <xdr:rowOff>104775</xdr:rowOff>
    </xdr:to>
    <xdr:graphicFrame macro="">
      <xdr:nvGraphicFramePr>
        <xdr:cNvPr id="5" name="Chart 4">
          <a:extLst>
            <a:ext uri="{FF2B5EF4-FFF2-40B4-BE49-F238E27FC236}">
              <a16:creationId xmlns:a16="http://schemas.microsoft.com/office/drawing/2014/main" id="{CA470A21-459C-438B-BEBF-464F2D751D93}"/>
            </a:ext>
            <a:ext uri="{147F2762-F138-4A5C-976F-8EAC2B608ADB}">
              <a16:predDERef xmlns:a16="http://schemas.microsoft.com/office/drawing/2014/main" pred="{4A623536-735B-43F3-A5ED-E86ADDA5D3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133350</xdr:colOff>
      <xdr:row>44</xdr:row>
      <xdr:rowOff>133350</xdr:rowOff>
    </xdr:from>
    <xdr:to>
      <xdr:col>13</xdr:col>
      <xdr:colOff>152400</xdr:colOff>
      <xdr:row>59</xdr:row>
      <xdr:rowOff>19050</xdr:rowOff>
    </xdr:to>
    <xdr:graphicFrame macro="">
      <xdr:nvGraphicFramePr>
        <xdr:cNvPr id="8" name="Chart 7" descr="Chart type: Clustered Column. 'Frequency'&#10;&#10;Description automatically generated">
          <a:extLst>
            <a:ext uri="{FF2B5EF4-FFF2-40B4-BE49-F238E27FC236}">
              <a16:creationId xmlns:a16="http://schemas.microsoft.com/office/drawing/2014/main" id="{1A854389-38A5-6934-F5CC-8E5813CB00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95250</xdr:colOff>
      <xdr:row>29</xdr:row>
      <xdr:rowOff>85725</xdr:rowOff>
    </xdr:from>
    <xdr:to>
      <xdr:col>13</xdr:col>
      <xdr:colOff>114300</xdr:colOff>
      <xdr:row>43</xdr:row>
      <xdr:rowOff>161925</xdr:rowOff>
    </xdr:to>
    <xdr:graphicFrame macro="">
      <xdr:nvGraphicFramePr>
        <xdr:cNvPr id="9" name="Chart 8" descr="Chart type: Clustered Column. 'Frequency'&#10;&#10;Description automatically generated">
          <a:extLst>
            <a:ext uri="{FF2B5EF4-FFF2-40B4-BE49-F238E27FC236}">
              <a16:creationId xmlns:a16="http://schemas.microsoft.com/office/drawing/2014/main" id="{D90A06AF-8151-3F74-03F2-3770F837334B}"/>
            </a:ext>
            <a:ext uri="{147F2762-F138-4A5C-976F-8EAC2B608ADB}">
              <a16:predDERef xmlns:a16="http://schemas.microsoft.com/office/drawing/2014/main" pred="{1A854389-38A5-6934-F5CC-8E5813CB00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228600</xdr:colOff>
      <xdr:row>14</xdr:row>
      <xdr:rowOff>57149</xdr:rowOff>
    </xdr:from>
    <xdr:to>
      <xdr:col>21</xdr:col>
      <xdr:colOff>76200</xdr:colOff>
      <xdr:row>42</xdr:row>
      <xdr:rowOff>104774</xdr:rowOff>
    </xdr:to>
    <xdr:graphicFrame macro="">
      <xdr:nvGraphicFramePr>
        <xdr:cNvPr id="3" name="Chart 2">
          <a:extLst>
            <a:ext uri="{FF2B5EF4-FFF2-40B4-BE49-F238E27FC236}">
              <a16:creationId xmlns:a16="http://schemas.microsoft.com/office/drawing/2014/main" id="{C3312DE3-866E-1F77-2D9D-A14213FFD4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array.xml><?xml version="1.0" encoding="utf-8"?>
<arrayData xmlns="http://schemas.microsoft.com/office/spreadsheetml/2017/richdata2" count="3">
  <a r="1" c="150">
    <v t="i">1</v>
    <v t="i">8</v>
    <v t="i">15</v>
    <v t="i">23</v>
    <v t="i">30</v>
    <v t="i">36</v>
    <v t="i">44</v>
    <v t="i">50</v>
    <v t="i">57</v>
    <v t="i">64</v>
    <v t="i">71</v>
    <v t="i">79</v>
    <v t="i">85</v>
    <v t="i">92</v>
    <v t="i">99</v>
    <v t="i">106</v>
    <v t="i">113</v>
    <v t="i">120</v>
    <v t="i">127</v>
    <v t="i">134</v>
    <v t="i">141</v>
    <v t="i">148</v>
    <v t="i">155</v>
    <v t="i">162</v>
    <v t="i">169</v>
    <v t="i">177</v>
    <v t="i">183</v>
    <v t="i">190</v>
    <v t="i">197</v>
    <v t="i">204</v>
    <v t="i">211</v>
    <v t="i">218</v>
    <v t="i">225</v>
    <v t="i">232</v>
    <v t="i">239</v>
    <v t="i">246</v>
    <v t="i">253</v>
    <v t="i">260</v>
    <v t="i">267</v>
    <v t="i">275</v>
    <v t="i">281</v>
    <v t="i">288</v>
    <v t="i">295</v>
    <v t="i">302</v>
    <v t="i">309</v>
    <v t="i">316</v>
    <v t="i">323</v>
    <v t="i">330</v>
    <v t="i">337</v>
    <v t="i">344</v>
    <v t="i">351</v>
    <v t="i">358</v>
    <v t="i">365</v>
    <v t="i">372</v>
    <v t="i">379</v>
    <v t="i">386</v>
    <v t="i">393</v>
    <v t="i">400</v>
    <v t="i">407</v>
    <v t="i">415</v>
    <v t="i">421</v>
    <v t="i">428</v>
    <v t="i">435</v>
    <v t="i">443</v>
    <v t="i">449</v>
    <v t="i">456</v>
    <v t="i">463</v>
    <v t="i">470</v>
    <v t="i">477</v>
    <v t="i">484</v>
    <v t="i">491</v>
    <v t="i">498</v>
    <v t="i">505</v>
    <v t="i">512</v>
    <v t="i">519</v>
    <v t="i">526</v>
    <v t="i">533</v>
    <v t="i">541</v>
    <v t="i">547</v>
    <v t="i">554</v>
    <v t="i">561</v>
    <v t="i">568</v>
    <v t="i">575</v>
    <v t="i">582</v>
    <v t="i">589</v>
    <v t="i">596</v>
    <v t="i">603</v>
    <v t="i">610</v>
    <v t="i">617</v>
    <v t="i">624</v>
    <v t="i">631</v>
    <v t="i">639</v>
    <v t="i">645</v>
    <v t="i">652</v>
    <v t="i">659</v>
    <v t="i">666</v>
    <v t="i">673</v>
    <v t="i">680</v>
    <v t="i">687</v>
    <v t="i">694</v>
    <v t="i">701</v>
    <v t="i">708</v>
    <v t="i">715</v>
    <v t="i">722</v>
    <v t="i">729</v>
    <v t="i">736</v>
    <v t="i">743</v>
    <v t="i">750</v>
    <v t="i">757</v>
    <v t="i">764</v>
    <v t="i">771</v>
    <v t="i">779</v>
    <v t="i">785</v>
    <v t="i">792</v>
    <v t="i">799</v>
    <v t="i">807</v>
    <v t="i">813</v>
    <v t="i">820</v>
    <v t="i">827</v>
    <v t="i">834</v>
    <v t="i">841</v>
    <v t="i">848</v>
    <v t="i">855</v>
    <v t="i">862</v>
    <v t="i">869</v>
    <v t="i">876</v>
    <v t="i">883</v>
    <v t="i">890</v>
    <v t="i">897</v>
    <v t="i">905</v>
    <v t="i">911</v>
    <v t="i">918</v>
    <v t="i">925</v>
    <v t="i">932</v>
    <v t="i">939</v>
    <v t="i">946</v>
    <v t="i">953</v>
    <v t="i">960</v>
    <v t="i">967</v>
    <v t="i">974</v>
    <v t="i">981</v>
    <v t="i">988</v>
    <v t="i">995</v>
    <v t="i">1002</v>
    <v t="i">1010</v>
    <v t="i">1016</v>
    <v t="i">1023</v>
    <v t="i">1030</v>
    <v t="i">1037</v>
    <v t="i">1044</v>
  </a>
  <a r="1" c="150">
    <v>243.84</v>
    <v>253.5</v>
    <v>252.54</v>
    <v>248.48</v>
    <v>237.49</v>
    <v>218.89</v>
    <v>212.19</v>
    <v>183.25</v>
    <v>187.91</v>
    <v>193.57</v>
    <v>199.95</v>
    <v>191.97</v>
    <v>202.64</v>
    <v>175.34</v>
    <v>163.57</v>
    <v>170.83</v>
    <v>175.79</v>
    <v>164.9</v>
    <v>171.05</v>
    <v>147.05000000000001</v>
    <v>168.29</v>
    <v>181.19</v>
    <v>168.47</v>
    <v>177.46</v>
    <v>179.24</v>
    <v>178.08</v>
    <v>177.48</v>
    <v>178.01</v>
    <v>183.01</v>
    <v>197.88</v>
    <v>251.52</v>
    <v>248.23</v>
    <v>239.2</v>
    <v>219.8</v>
    <v>207.67</v>
    <v>200</v>
    <v>216.12</v>
    <v>220.32</v>
    <v>214.11</v>
    <v>210.73</v>
    <v>230.29</v>
    <v>238.25</v>
    <v>260.45999999999998</v>
    <v>250.08</v>
    <v>217.8</v>
    <v>220.7</v>
    <v>269.19</v>
    <v>248.98</v>
    <v>321.22000000000003</v>
    <v>320.72000000000003</v>
    <v>352.56</v>
    <v>345.16</v>
    <v>389.22</v>
    <v>436.23</v>
    <v>421.06</v>
    <v>431.66</v>
    <v>410.44</v>
    <v>394.74</v>
    <v>426.5</v>
    <v>406.58</v>
    <v>404.6</v>
    <v>361.62</v>
    <v>355.84</v>
    <v>337.8</v>
    <v>292.98</v>
    <v>262.67</v>
    <v>249.98</v>
    <v>248.71</v>
    <v>263.55</v>
    <v>239.43</v>
    <v>252.31</v>
    <v>241.37</v>
    <v>284.95</v>
    <v>287.20999999999998</v>
    <v>298.26</v>
    <v>349.98</v>
    <v>339.34</v>
    <v>346.46</v>
    <v>295.14</v>
    <v>325.31</v>
    <v>322.16000000000003</v>
    <v>323.63</v>
    <v>315.35000000000002</v>
    <v>313.51</v>
    <v>329.65</v>
    <v>316.06</v>
    <v>302.63</v>
    <v>329.65</v>
    <v>330.56</v>
    <v>340.01</v>
    <v>333.87</v>
    <v>350.84</v>
    <v>395.94</v>
    <v>426.07</v>
    <v>440.4</v>
    <v>429.83</v>
    <v>413.49</v>
    <v>439.31</v>
    <v>433.72</v>
    <v>456.56</v>
    <v>429.52</v>
    <v>404.35</v>
    <v>391.09</v>
    <v>430.17</v>
    <v>455</v>
    <v>458.96</v>
    <v>481.2</v>
    <v>475.19</v>
    <v>438.07</v>
    <v>445.01</v>
    <v>437.5</v>
    <v>449.06</v>
    <v>430.41</v>
    <v>411.11</v>
    <v>417.44</v>
    <v>411.82</v>
    <v>402.51</v>
    <v>396.73</v>
    <v>391.2</v>
    <v>367.96</v>
    <v>361.83</v>
    <v>360.59</v>
    <v>348.95</v>
    <v>400.62</v>
    <v>376.3</v>
    <v>390.82</v>
    <v>428.35</v>
    <v>422.24</v>
    <v>426.01</v>
    <v>435.79</v>
    <v>391</v>
    <v>406.43</v>
    <v>400.49</v>
    <v>379.71</v>
    <v>393.45</v>
    <v>407.76</v>
    <v>380.84</v>
    <v>313.02999999999997</v>
    <v>311.20999999999998</v>
    <v>328.58</v>
    <v>342.27</v>
    <v>362.86</v>
    <v>348.75</v>
    <v>354.08</v>
    <v>365.44</v>
    <v>364.27</v>
    <v>372.11</v>
    <v>370.59</v>
    <v>382.7</v>
    <v>354.72</v>
  </a>
  <a r="1" c="150">
    <v>147.41999999999999</v>
    <v>149.97</v>
    <v>153.41999999999999</v>
    <v>151.94</v>
    <v>145.24</v>
    <v>154.62</v>
    <v>155.34</v>
    <v>159.12</v>
    <v>171.81</v>
    <v>174.45</v>
    <v>169.51</v>
    <v>174.99</v>
    <v>178.22</v>
    <v>175.35</v>
    <v>174.42</v>
    <v>178.87</v>
    <v>180.38</v>
    <v>185.07</v>
    <v>186.13</v>
    <v>174.63</v>
    <v>179.62</v>
    <v>186.21</v>
    <v>187.48</v>
    <v>184.7</v>
    <v>180.75</v>
    <v>176.44</v>
    <v>184.3</v>
    <v>183.66</v>
    <v>189.08</v>
    <v>193.25</v>
    <v>200</v>
    <v>194.49</v>
    <v>183.13</v>
    <v>182.5</v>
    <v>167.9</v>
    <v>166.94</v>
    <v>177.06</v>
    <v>177.04</v>
    <v>178.5</v>
    <v>171.39</v>
    <v>186.49</v>
    <v>191.6</v>
    <v>187.97</v>
    <v>186.51</v>
    <v>188.82</v>
    <v>188.99</v>
    <v>187.83</v>
    <v>197.93</v>
    <v>208.18</v>
    <v>202.61</v>
    <v>197.12</v>
    <v>207.89</v>
    <v>227.03</v>
    <v>227.46</v>
    <v>224.92</v>
    <v>223.75</v>
    <v>224.19</v>
    <v>218.94</v>
    <v>225.94</v>
    <v>234.85</v>
    <v>237.68</v>
    <v>229.15</v>
    <v>228.68</v>
    <v>216.58</v>
    <v>212.28</v>
    <v>199.25</v>
    <v>197.95</v>
    <v>196.21</v>
    <v>192.72</v>
    <v>171</v>
    <v>184.87</v>
    <v>172.61</v>
    <v>188.99</v>
    <v>189.98</v>
    <v>193.06</v>
    <v>205.59</v>
    <v>200.99</v>
    <v>205.01</v>
    <v>213.57</v>
    <v>212.1</v>
    <v>209.69</v>
    <v>223.3</v>
    <v>223.41</v>
    <v>225.02</v>
    <v>226.13</v>
    <v>231.44</v>
    <v>214.75</v>
    <v>222.69</v>
    <v>231.03</v>
    <v>228.84</v>
    <v>229</v>
    <v>232.33</v>
    <v>228.15</v>
    <v>231.48</v>
    <v>219.78</v>
    <v>219.51</v>
    <v>216.37</v>
    <v>213.04</v>
    <v>224.21</v>
    <v>244.22</v>
    <v>244.41</v>
    <v>234.69</v>
    <v>220.69</v>
    <v>233.22</v>
    <v>229.53</v>
    <v>226.19</v>
    <v>227.35</v>
    <v>232.52</v>
    <v>226.5</v>
    <v>247.38</v>
    <v>239.12</v>
    <v>239.16</v>
    <v>239.3</v>
    <v>210.32</v>
    <v>198.79</v>
    <v>210.11</v>
    <v>210</v>
    <v>213.21</v>
    <v>207.67</v>
    <v>205.37</v>
    <v>199.34</v>
    <v>209.77</v>
    <v>238.38</v>
    <v>250.56</v>
    <v>263.99</v>
    <v>268.26</v>
    <v>272.68</v>
    <v>264.14</v>
    <v>266.32</v>
    <v>270.64</v>
    <v>246.03</v>
    <v>238.55</v>
    <v>244.39</v>
    <v>232.69</v>
    <v>242.67</v>
    <v>245.34</v>
    <v>247.23</v>
    <v>232.11</v>
    <v>271.58</v>
    <v>274.48</v>
    <v>262.64999999999998</v>
    <v>258.63</v>
    <v>266.43</v>
    <v>258.51</v>
    <v>256.77999999999997</v>
    <v>253.71</v>
    <v>249.67</v>
    <v>251.52</v>
    <v>262.43</v>
    <v>250</v>
  </a>
</arrayData>
</file>

<file path=xl/richData/rdrichvalue.xml><?xml version="1.0" encoding="utf-8"?>
<rvData xmlns="http://schemas.microsoft.com/office/spreadsheetml/2017/richdata" count="447">
  <rv s="0">
    <fb>45264</fb>
    <v>0</v>
  </rv>
  <rv s="0">
    <fb>147.41999999999999</fb>
    <v>1</v>
  </rv>
  <rv s="0">
    <fb>243.84</fb>
    <v>1</v>
  </rv>
  <rv s="0">
    <fb>45271</fb>
    <v>0</v>
  </rv>
  <rv s="0">
    <fb>149.97</fb>
    <v>1</v>
  </rv>
  <rv s="0">
    <fb>253.5</fb>
    <v>1</v>
  </rv>
  <rv s="0">
    <fb>45278</fb>
    <v>0</v>
  </rv>
  <rv s="0">
    <fb>153.41999999999999</fb>
    <v>1</v>
  </rv>
  <rv s="0">
    <fb>252.54</fb>
    <v>1</v>
  </rv>
  <rv s="0">
    <fb>45286</fb>
    <v>0</v>
  </rv>
  <rv s="0">
    <fb>151.94</fb>
    <v>1</v>
  </rv>
  <rv s="0">
    <fb>248.48</fb>
    <v>1</v>
  </rv>
  <rv s="0">
    <fb>45293</fb>
    <v>0</v>
  </rv>
  <rv s="0">
    <fb>145.24</fb>
    <v>1</v>
  </rv>
  <rv s="0">
    <fb>237.49</fb>
    <v>1</v>
  </rv>
  <rv s="0">
    <fb>45299</fb>
    <v>0</v>
  </rv>
  <rv s="0">
    <fb>154.62</fb>
    <v>1</v>
  </rv>
  <rv s="0">
    <fb>218.89</fb>
    <v>1</v>
  </rv>
  <rv s="0">
    <fb>45307</fb>
    <v>0</v>
  </rv>
  <rv s="0">
    <fb>155.34</fb>
    <v>1</v>
  </rv>
  <rv s="0">
    <fb>212.19</fb>
    <v>1</v>
  </rv>
  <rv s="0">
    <fb>45313</fb>
    <v>0</v>
  </rv>
  <rv s="0">
    <fb>159.12</fb>
    <v>1</v>
  </rv>
  <rv s="0">
    <fb>183.25</fb>
    <v>1</v>
  </rv>
  <rv s="0">
    <fb>45320</fb>
    <v>0</v>
  </rv>
  <rv s="0">
    <fb>171.81</fb>
    <v>1</v>
  </rv>
  <rv s="0">
    <fb>187.91</fb>
    <v>1</v>
  </rv>
  <rv s="0">
    <fb>45327</fb>
    <v>0</v>
  </rv>
  <rv s="0">
    <fb>174.45</fb>
    <v>1</v>
  </rv>
  <rv s="0">
    <fb>193.57</fb>
    <v>1</v>
  </rv>
  <rv s="0">
    <fb>45334</fb>
    <v>0</v>
  </rv>
  <rv s="0">
    <fb>169.51</fb>
    <v>1</v>
  </rv>
  <rv s="0">
    <fb>199.95</fb>
    <v>1</v>
  </rv>
  <rv s="0">
    <fb>45342</fb>
    <v>0</v>
  </rv>
  <rv s="0">
    <fb>174.99</fb>
    <v>1</v>
  </rv>
  <rv s="0">
    <fb>191.97</fb>
    <v>1</v>
  </rv>
  <rv s="0">
    <fb>45348</fb>
    <v>0</v>
  </rv>
  <rv s="0">
    <fb>178.22</fb>
    <v>1</v>
  </rv>
  <rv s="0">
    <fb>202.64</fb>
    <v>1</v>
  </rv>
  <rv s="0">
    <fb>45355</fb>
    <v>0</v>
  </rv>
  <rv s="0">
    <fb>175.35</fb>
    <v>1</v>
  </rv>
  <rv s="0">
    <fb>175.34</fb>
    <v>1</v>
  </rv>
  <rv s="0">
    <fb>45362</fb>
    <v>0</v>
  </rv>
  <rv s="0">
    <fb>174.42</fb>
    <v>1</v>
  </rv>
  <rv s="0">
    <fb>163.57</fb>
    <v>1</v>
  </rv>
  <rv s="0">
    <fb>45369</fb>
    <v>0</v>
  </rv>
  <rv s="0">
    <fb>178.87</fb>
    <v>1</v>
  </rv>
  <rv s="0">
    <fb>170.83</fb>
    <v>1</v>
  </rv>
  <rv s="0">
    <fb>45376</fb>
    <v>0</v>
  </rv>
  <rv s="0">
    <fb>180.38</fb>
    <v>1</v>
  </rv>
  <rv s="0">
    <fb>175.79</fb>
    <v>1</v>
  </rv>
  <rv s="0">
    <fb>45383</fb>
    <v>0</v>
  </rv>
  <rv s="0">
    <fb>185.07</fb>
    <v>1</v>
  </rv>
  <rv s="0">
    <fb>164.9</fb>
    <v>1</v>
  </rv>
  <rv s="0">
    <fb>45390</fb>
    <v>0</v>
  </rv>
  <rv s="0">
    <fb>186.13</fb>
    <v>1</v>
  </rv>
  <rv s="0">
    <fb>171.05</fb>
    <v>1</v>
  </rv>
  <rv s="0">
    <fb>45397</fb>
    <v>0</v>
  </rv>
  <rv s="0">
    <fb>174.63</fb>
    <v>1</v>
  </rv>
  <rv s="0">
    <fb>147.05000000000001</fb>
    <v>1</v>
  </rv>
  <rv s="0">
    <fb>45404</fb>
    <v>0</v>
  </rv>
  <rv s="0">
    <fb>179.62</fb>
    <v>1</v>
  </rv>
  <rv s="0">
    <fb>168.29</fb>
    <v>1</v>
  </rv>
  <rv s="0">
    <fb>45411</fb>
    <v>0</v>
  </rv>
  <rv s="0">
    <fb>186.21</fb>
    <v>1</v>
  </rv>
  <rv s="0">
    <fb>181.19</fb>
    <v>1</v>
  </rv>
  <rv s="0">
    <fb>45418</fb>
    <v>0</v>
  </rv>
  <rv s="0">
    <fb>187.48</fb>
    <v>1</v>
  </rv>
  <rv s="0">
    <fb>168.47</fb>
    <v>1</v>
  </rv>
  <rv s="0">
    <fb>45425</fb>
    <v>0</v>
  </rv>
  <rv s="0">
    <fb>184.7</fb>
    <v>1</v>
  </rv>
  <rv s="0">
    <fb>177.46</fb>
    <v>1</v>
  </rv>
  <rv s="0">
    <fb>45432</fb>
    <v>0</v>
  </rv>
  <rv s="0">
    <fb>180.75</fb>
    <v>1</v>
  </rv>
  <rv s="0">
    <fb>179.24</fb>
    <v>1</v>
  </rv>
  <rv s="0">
    <fb>45440</fb>
    <v>0</v>
  </rv>
  <rv s="0">
    <fb>176.44</fb>
    <v>1</v>
  </rv>
  <rv s="0">
    <fb>178.08</fb>
    <v>1</v>
  </rv>
  <rv s="0">
    <fb>45446</fb>
    <v>0</v>
  </rv>
  <rv s="0">
    <fb>184.3</fb>
    <v>1</v>
  </rv>
  <rv s="0">
    <fb>177.48</fb>
    <v>1</v>
  </rv>
  <rv s="0">
    <fb>45453</fb>
    <v>0</v>
  </rv>
  <rv s="0">
    <fb>183.66</fb>
    <v>1</v>
  </rv>
  <rv s="0">
    <fb>178.01</fb>
    <v>1</v>
  </rv>
  <rv s="0">
    <fb>45460</fb>
    <v>0</v>
  </rv>
  <rv s="0">
    <fb>189.08</fb>
    <v>1</v>
  </rv>
  <rv s="0">
    <fb>183.01</fb>
    <v>1</v>
  </rv>
  <rv s="0">
    <fb>45467</fb>
    <v>0</v>
  </rv>
  <rv s="0">
    <fb>193.25</fb>
    <v>1</v>
  </rv>
  <rv s="0">
    <fb>197.88</fb>
    <v>1</v>
  </rv>
  <rv s="0">
    <fb>45474</fb>
    <v>0</v>
  </rv>
  <rv s="0">
    <fb>200</fb>
    <v>1</v>
  </rv>
  <rv s="0">
    <fb>251.52</fb>
    <v>1</v>
  </rv>
  <rv s="0">
    <fb>45481</fb>
    <v>0</v>
  </rv>
  <rv s="0">
    <fb>194.49</fb>
    <v>1</v>
  </rv>
  <rv s="0">
    <fb>248.23</fb>
    <v>1</v>
  </rv>
  <rv s="0">
    <fb>45488</fb>
    <v>0</v>
  </rv>
  <rv s="0">
    <fb>183.13</fb>
    <v>1</v>
  </rv>
  <rv s="0">
    <fb>239.2</fb>
    <v>1</v>
  </rv>
  <rv s="0">
    <fb>45495</fb>
    <v>0</v>
  </rv>
  <rv s="0">
    <fb>182.5</fb>
    <v>1</v>
  </rv>
  <rv s="0">
    <fb>219.8</fb>
    <v>1</v>
  </rv>
  <rv s="0">
    <fb>45502</fb>
    <v>0</v>
  </rv>
  <rv s="0">
    <fb>167.9</fb>
    <v>1</v>
  </rv>
  <rv s="0">
    <fb>207.67</fb>
    <v>1</v>
  </rv>
  <rv s="0">
    <fb>45509</fb>
    <v>0</v>
  </rv>
  <rv s="0">
    <fb>166.94</fb>
    <v>1</v>
  </rv>
  <rv s="0">
    <fb>45516</fb>
    <v>0</v>
  </rv>
  <rv s="0">
    <fb>177.06</fb>
    <v>1</v>
  </rv>
  <rv s="0">
    <fb>216.12</fb>
    <v>1</v>
  </rv>
  <rv s="0">
    <fb>45523</fb>
    <v>0</v>
  </rv>
  <rv s="0">
    <fb>177.04</fb>
    <v>1</v>
  </rv>
  <rv s="0">
    <fb>220.32</fb>
    <v>1</v>
  </rv>
  <rv s="0">
    <fb>45530</fb>
    <v>0</v>
  </rv>
  <rv s="0">
    <fb>178.5</fb>
    <v>1</v>
  </rv>
  <rv s="0">
    <fb>214.11</fb>
    <v>1</v>
  </rv>
  <rv s="0">
    <fb>45538</fb>
    <v>0</v>
  </rv>
  <rv s="0">
    <fb>171.39</fb>
    <v>1</v>
  </rv>
  <rv s="0">
    <fb>210.73</fb>
    <v>1</v>
  </rv>
  <rv s="0">
    <fb>45544</fb>
    <v>0</v>
  </rv>
  <rv s="0">
    <fb>186.49</fb>
    <v>1</v>
  </rv>
  <rv s="0">
    <fb>230.29</fb>
    <v>1</v>
  </rv>
  <rv s="0">
    <fb>45551</fb>
    <v>0</v>
  </rv>
  <rv s="0">
    <fb>191.6</fb>
    <v>1</v>
  </rv>
  <rv s="0">
    <fb>238.25</fb>
    <v>1</v>
  </rv>
  <rv s="0">
    <fb>45558</fb>
    <v>0</v>
  </rv>
  <rv s="0">
    <fb>187.97</fb>
    <v>1</v>
  </rv>
  <rv s="0">
    <fb>260.45999999999998</fb>
    <v>1</v>
  </rv>
  <rv s="0">
    <fb>45565</fb>
    <v>0</v>
  </rv>
  <rv s="0">
    <fb>186.51</fb>
    <v>1</v>
  </rv>
  <rv s="0">
    <fb>250.08</fb>
    <v>1</v>
  </rv>
  <rv s="0">
    <fb>45572</fb>
    <v>0</v>
  </rv>
  <rv s="0">
    <fb>188.82</fb>
    <v>1</v>
  </rv>
  <rv s="0">
    <fb>217.8</fb>
    <v>1</v>
  </rv>
  <rv s="0">
    <fb>45579</fb>
    <v>0</v>
  </rv>
  <rv s="0">
    <fb>188.99</fb>
    <v>1</v>
  </rv>
  <rv s="0">
    <fb>220.7</fb>
    <v>1</v>
  </rv>
  <rv s="0">
    <fb>45586</fb>
    <v>0</v>
  </rv>
  <rv s="0">
    <fb>187.83</fb>
    <v>1</v>
  </rv>
  <rv s="0">
    <fb>269.19</fb>
    <v>1</v>
  </rv>
  <rv s="0">
    <fb>45593</fb>
    <v>0</v>
  </rv>
  <rv s="0">
    <fb>197.93</fb>
    <v>1</v>
  </rv>
  <rv s="0">
    <fb>248.98</fb>
    <v>1</v>
  </rv>
  <rv s="0">
    <fb>45600</fb>
    <v>0</v>
  </rv>
  <rv s="0">
    <fb>208.18</fb>
    <v>1</v>
  </rv>
  <rv s="0">
    <fb>321.22000000000003</fb>
    <v>1</v>
  </rv>
  <rv s="0">
    <fb>45607</fb>
    <v>0</v>
  </rv>
  <rv s="0">
    <fb>202.61</fb>
    <v>1</v>
  </rv>
  <rv s="0">
    <fb>320.72000000000003</fb>
    <v>1</v>
  </rv>
  <rv s="0">
    <fb>45614</fb>
    <v>0</v>
  </rv>
  <rv s="0">
    <fb>197.12</fb>
    <v>1</v>
  </rv>
  <rv s="0">
    <fb>352.56</fb>
    <v>1</v>
  </rv>
  <rv s="0">
    <fb>45621</fb>
    <v>0</v>
  </rv>
  <rv s="0">
    <fb>207.89</fb>
    <v>1</v>
  </rv>
  <rv s="0">
    <fb>345.16</fb>
    <v>1</v>
  </rv>
  <rv s="0">
    <fb>45628</fb>
    <v>0</v>
  </rv>
  <rv s="0">
    <fb>227.03</fb>
    <v>1</v>
  </rv>
  <rv s="0">
    <fb>389.22</fb>
    <v>1</v>
  </rv>
  <rv s="0">
    <fb>45635</fb>
    <v>0</v>
  </rv>
  <rv s="0">
    <fb>227.46</fb>
    <v>1</v>
  </rv>
  <rv s="0">
    <fb>436.23</fb>
    <v>1</v>
  </rv>
  <rv s="0">
    <fb>45642</fb>
    <v>0</v>
  </rv>
  <rv s="0">
    <fb>224.92</fb>
    <v>1</v>
  </rv>
  <rv s="0">
    <fb>421.06</fb>
    <v>1</v>
  </rv>
  <rv s="0">
    <fb>45649</fb>
    <v>0</v>
  </rv>
  <rv s="0">
    <fb>223.75</fb>
    <v>1</v>
  </rv>
  <rv s="0">
    <fb>431.66</fb>
    <v>1</v>
  </rv>
  <rv s="0">
    <fb>45656</fb>
    <v>0</v>
  </rv>
  <rv s="0">
    <fb>224.19</fb>
    <v>1</v>
  </rv>
  <rv s="0">
    <fb>410.44</fb>
    <v>1</v>
  </rv>
  <rv s="0">
    <fb>45663</fb>
    <v>0</v>
  </rv>
  <rv s="0">
    <fb>218.94</fb>
    <v>1</v>
  </rv>
  <rv s="0">
    <fb>394.74</fb>
    <v>1</v>
  </rv>
  <rv s="0">
    <fb>45670</fb>
    <v>0</v>
  </rv>
  <rv s="0">
    <fb>225.94</fb>
    <v>1</v>
  </rv>
  <rv s="0">
    <fb>426.5</fb>
    <v>1</v>
  </rv>
  <rv s="0">
    <fb>45678</fb>
    <v>0</v>
  </rv>
  <rv s="0">
    <fb>234.85</fb>
    <v>1</v>
  </rv>
  <rv s="0">
    <fb>406.58</fb>
    <v>1</v>
  </rv>
  <rv s="0">
    <fb>45684</fb>
    <v>0</v>
  </rv>
  <rv s="0">
    <fb>237.68</fb>
    <v>1</v>
  </rv>
  <rv s="0">
    <fb>404.6</fb>
    <v>1</v>
  </rv>
  <rv s="0">
    <fb>45691</fb>
    <v>0</v>
  </rv>
  <rv s="0">
    <fb>229.15</fb>
    <v>1</v>
  </rv>
  <rv s="0">
    <fb>361.62</fb>
    <v>1</v>
  </rv>
  <rv s="0">
    <fb>45698</fb>
    <v>0</v>
  </rv>
  <rv s="0">
    <fb>228.68</fb>
    <v>1</v>
  </rv>
  <rv s="0">
    <fb>355.84</fb>
    <v>1</v>
  </rv>
  <rv s="0">
    <fb>45706</fb>
    <v>0</v>
  </rv>
  <rv s="0">
    <fb>216.58</fb>
    <v>1</v>
  </rv>
  <rv s="0">
    <fb>337.8</fb>
    <v>1</v>
  </rv>
  <rv s="0">
    <fb>45712</fb>
    <v>0</v>
  </rv>
  <rv s="0">
    <fb>212.28</fb>
    <v>1</v>
  </rv>
  <rv s="0">
    <fb>292.98</fb>
    <v>1</v>
  </rv>
  <rv s="0">
    <fb>45719</fb>
    <v>0</v>
  </rv>
  <rv s="0">
    <fb>199.25</fb>
    <v>1</v>
  </rv>
  <rv s="0">
    <fb>262.67</fb>
    <v>1</v>
  </rv>
  <rv s="0">
    <fb>45726</fb>
    <v>0</v>
  </rv>
  <rv s="0">
    <fb>197.95</fb>
    <v>1</v>
  </rv>
  <rv s="0">
    <fb>249.98</fb>
    <v>1</v>
  </rv>
  <rv s="0">
    <fb>45733</fb>
    <v>0</v>
  </rv>
  <rv s="0">
    <fb>196.21</fb>
    <v>1</v>
  </rv>
  <rv s="0">
    <fb>248.71</fb>
    <v>1</v>
  </rv>
  <rv s="0">
    <fb>45740</fb>
    <v>0</v>
  </rv>
  <rv s="0">
    <fb>192.72</fb>
    <v>1</v>
  </rv>
  <rv s="0">
    <fb>263.55</fb>
    <v>1</v>
  </rv>
  <rv s="0">
    <fb>45747</fb>
    <v>0</v>
  </rv>
  <rv s="0">
    <fb>171</fb>
    <v>1</v>
  </rv>
  <rv s="0">
    <fb>239.43</fb>
    <v>1</v>
  </rv>
  <rv s="0">
    <fb>45754</fb>
    <v>0</v>
  </rv>
  <rv s="0">
    <fb>184.87</fb>
    <v>1</v>
  </rv>
  <rv s="0">
    <fb>252.31</fb>
    <v>1</v>
  </rv>
  <rv s="0">
    <fb>45761</fb>
    <v>0</v>
  </rv>
  <rv s="0">
    <fb>172.61</fb>
    <v>1</v>
  </rv>
  <rv s="0">
    <fb>241.37</fb>
    <v>1</v>
  </rv>
  <rv s="0">
    <fb>45768</fb>
    <v>0</v>
  </rv>
  <rv s="0">
    <fb>284.95</fb>
    <v>1</v>
  </rv>
  <rv s="0">
    <fb>45775</fb>
    <v>0</v>
  </rv>
  <rv s="0">
    <fb>189.98</fb>
    <v>1</v>
  </rv>
  <rv s="0">
    <fb>287.20999999999998</fb>
    <v>1</v>
  </rv>
  <rv s="0">
    <fb>45782</fb>
    <v>0</v>
  </rv>
  <rv s="0">
    <fb>193.06</fb>
    <v>1</v>
  </rv>
  <rv s="0">
    <fb>298.26</fb>
    <v>1</v>
  </rv>
  <rv s="0">
    <fb>45789</fb>
    <v>0</v>
  </rv>
  <rv s="0">
    <fb>205.59</fb>
    <v>1</v>
  </rv>
  <rv s="0">
    <fb>349.98</fb>
    <v>1</v>
  </rv>
  <rv s="0">
    <fb>45796</fb>
    <v>0</v>
  </rv>
  <rv s="0">
    <fb>200.99</fb>
    <v>1</v>
  </rv>
  <rv s="0">
    <fb>339.34</fb>
    <v>1</v>
  </rv>
  <rv s="0">
    <fb>45804</fb>
    <v>0</v>
  </rv>
  <rv s="0">
    <fb>205.01</fb>
    <v>1</v>
  </rv>
  <rv s="0">
    <fb>346.46</fb>
    <v>1</v>
  </rv>
  <rv s="0">
    <fb>45810</fb>
    <v>0</v>
  </rv>
  <rv s="0">
    <fb>213.57</fb>
    <v>1</v>
  </rv>
  <rv s="0">
    <fb>295.14</fb>
    <v>1</v>
  </rv>
  <rv s="0">
    <fb>45817</fb>
    <v>0</v>
  </rv>
  <rv s="0">
    <fb>212.1</fb>
    <v>1</v>
  </rv>
  <rv s="0">
    <fb>325.31</fb>
    <v>1</v>
  </rv>
  <rv s="0">
    <fb>45824</fb>
    <v>0</v>
  </rv>
  <rv s="0">
    <fb>209.69</fb>
    <v>1</v>
  </rv>
  <rv s="0">
    <fb>322.16000000000003</fb>
    <v>1</v>
  </rv>
  <rv s="0">
    <fb>45831</fb>
    <v>0</v>
  </rv>
  <rv s="0">
    <fb>223.3</fb>
    <v>1</v>
  </rv>
  <rv s="0">
    <fb>323.63</fb>
    <v>1</v>
  </rv>
  <rv s="0">
    <fb>45838</fb>
    <v>0</v>
  </rv>
  <rv s="0">
    <fb>223.41</fb>
    <v>1</v>
  </rv>
  <rv s="0">
    <fb>315.35000000000002</fb>
    <v>1</v>
  </rv>
  <rv s="0">
    <fb>45845</fb>
    <v>0</v>
  </rv>
  <rv s="0">
    <fb>225.02</fb>
    <v>1</v>
  </rv>
  <rv s="0">
    <fb>313.51</fb>
    <v>1</v>
  </rv>
  <rv s="0">
    <fb>45852</fb>
    <v>0</v>
  </rv>
  <rv s="0">
    <fb>226.13</fb>
    <v>1</v>
  </rv>
  <rv s="0">
    <fb>329.65</fb>
    <v>1</v>
  </rv>
  <rv s="0">
    <fb>45859</fb>
    <v>0</v>
  </rv>
  <rv s="0">
    <fb>231.44</fb>
    <v>1</v>
  </rv>
  <rv s="0">
    <fb>316.06</fb>
    <v>1</v>
  </rv>
  <rv s="0">
    <fb>45866</fb>
    <v>0</v>
  </rv>
  <rv s="0">
    <fb>214.75</fb>
    <v>1</v>
  </rv>
  <rv s="0">
    <fb>302.63</fb>
    <v>1</v>
  </rv>
  <rv s="0">
    <fb>45873</fb>
    <v>0</v>
  </rv>
  <rv s="0">
    <fb>222.69</fb>
    <v>1</v>
  </rv>
  <rv s="0">
    <fb>45880</fb>
    <v>0</v>
  </rv>
  <rv s="0">
    <fb>231.03</fb>
    <v>1</v>
  </rv>
  <rv s="0">
    <fb>330.56</fb>
    <v>1</v>
  </rv>
  <rv s="0">
    <fb>45887</fb>
    <v>0</v>
  </rv>
  <rv s="0">
    <fb>228.84</fb>
    <v>1</v>
  </rv>
  <rv s="0">
    <fb>340.01</fb>
    <v>1</v>
  </rv>
  <rv s="0">
    <fb>45894</fb>
    <v>0</v>
  </rv>
  <rv s="0">
    <fb>229</fb>
    <v>1</v>
  </rv>
  <rv s="0">
    <fb>333.87</fb>
    <v>1</v>
  </rv>
  <rv s="0">
    <fb>45902</fb>
    <v>0</v>
  </rv>
  <rv s="0">
    <fb>232.33</fb>
    <v>1</v>
  </rv>
  <rv s="0">
    <fb>350.84</fb>
    <v>1</v>
  </rv>
  <rv s="0">
    <fb>45908</fb>
    <v>0</v>
  </rv>
  <rv s="0">
    <fb>228.15</fb>
    <v>1</v>
  </rv>
  <rv s="0">
    <fb>395.94</fb>
    <v>1</v>
  </rv>
  <rv s="0">
    <fb>45915</fb>
    <v>0</v>
  </rv>
  <rv s="0">
    <fb>231.48</fb>
    <v>1</v>
  </rv>
  <rv s="0">
    <fb>426.07</fb>
    <v>1</v>
  </rv>
  <rv s="0">
    <fb>45922</fb>
    <v>0</v>
  </rv>
  <rv s="0">
    <fb>219.78</fb>
    <v>1</v>
  </rv>
  <rv s="0">
    <fb>440.4</fb>
    <v>1</v>
  </rv>
  <rv s="0">
    <fb>45929</fb>
    <v>0</v>
  </rv>
  <rv s="0">
    <fb>219.51</fb>
    <v>1</v>
  </rv>
  <rv s="0">
    <fb>429.83</fb>
    <v>1</v>
  </rv>
  <rv s="0">
    <fb>45936</fb>
    <v>0</v>
  </rv>
  <rv s="0">
    <fb>216.37</fb>
    <v>1</v>
  </rv>
  <rv s="0">
    <fb>413.49</fb>
    <v>1</v>
  </rv>
  <rv s="0">
    <fb>45943</fb>
    <v>0</v>
  </rv>
  <rv s="0">
    <fb>213.04</fb>
    <v>1</v>
  </rv>
  <rv s="0">
    <fb>439.31</fb>
    <v>1</v>
  </rv>
  <rv s="0">
    <fb>45950</fb>
    <v>0</v>
  </rv>
  <rv s="0">
    <fb>224.21</fb>
    <v>1</v>
  </rv>
  <rv s="0">
    <fb>433.72</fb>
    <v>1</v>
  </rv>
  <rv s="0">
    <fb>45957</fb>
    <v>0</v>
  </rv>
  <rv s="0">
    <fb>244.22</fb>
    <v>1</v>
  </rv>
  <rv s="0">
    <fb>456.56</fb>
    <v>1</v>
  </rv>
  <rv s="0">
    <fb>45964</fb>
    <v>0</v>
  </rv>
  <rv s="0">
    <fb>244.41</fb>
    <v>1</v>
  </rv>
  <rv s="0">
    <fb>429.52</fb>
    <v>1</v>
  </rv>
  <rv s="0">
    <fb>45971</fb>
    <v>0</v>
  </rv>
  <rv s="0">
    <fb>234.69</fb>
    <v>1</v>
  </rv>
  <rv s="0">
    <fb>404.35</fb>
    <v>1</v>
  </rv>
  <rv s="0">
    <fb>45978</fb>
    <v>0</v>
  </rv>
  <rv s="0">
    <fb>220.69</fb>
    <v>1</v>
  </rv>
  <rv s="0">
    <fb>391.09</fb>
    <v>1</v>
  </rv>
  <rv s="0">
    <fb>45985</fb>
    <v>0</v>
  </rv>
  <rv s="0">
    <fb>233.22</fb>
    <v>1</v>
  </rv>
  <rv s="0">
    <fb>430.17</fb>
    <v>1</v>
  </rv>
  <rv s="0">
    <fb>45992</fb>
    <v>0</v>
  </rv>
  <rv s="0">
    <fb>229.53</fb>
    <v>1</v>
  </rv>
  <rv s="0">
    <fb>455</fb>
    <v>1</v>
  </rv>
  <rv s="0">
    <fb>45999</fb>
    <v>0</v>
  </rv>
  <rv s="0">
    <fb>226.19</fb>
    <v>1</v>
  </rv>
  <rv s="0">
    <fb>458.96</fb>
    <v>1</v>
  </rv>
  <rv s="0">
    <fb>46006</fb>
    <v>0</v>
  </rv>
  <rv s="0">
    <fb>227.35</fb>
    <v>1</v>
  </rv>
  <rv s="0">
    <fb>481.2</fb>
    <v>1</v>
  </rv>
  <rv s="0">
    <fb>46013</fb>
    <v>0</v>
  </rv>
  <rv s="0">
    <fb>232.52</fb>
    <v>1</v>
  </rv>
  <rv s="0">
    <fb>475.19</fb>
    <v>1</v>
  </rv>
  <rv s="0">
    <fb>46020</fb>
    <v>0</v>
  </rv>
  <rv s="0">
    <fb>226.5</fb>
    <v>1</v>
  </rv>
  <rv s="0">
    <fb>438.07</fb>
    <v>1</v>
  </rv>
  <rv s="0">
    <fb>46027</fb>
    <v>0</v>
  </rv>
  <rv s="0">
    <fb>247.38</fb>
    <v>1</v>
  </rv>
  <rv s="0">
    <fb>445.01</fb>
    <v>1</v>
  </rv>
  <rv s="0">
    <fb>46034</fb>
    <v>0</v>
  </rv>
  <rv s="0">
    <fb>239.12</fb>
    <v>1</v>
  </rv>
  <rv s="0">
    <fb>437.5</fb>
    <v>1</v>
  </rv>
  <rv s="0">
    <fb>46042</fb>
    <v>0</v>
  </rv>
  <rv s="0">
    <fb>239.16</fb>
    <v>1</v>
  </rv>
  <rv s="0">
    <fb>449.06</fb>
    <v>1</v>
  </rv>
  <rv s="0">
    <fb>46048</fb>
    <v>0</v>
  </rv>
  <rv s="0">
    <fb>239.3</fb>
    <v>1</v>
  </rv>
  <rv s="0">
    <fb>430.41</fb>
    <v>1</v>
  </rv>
  <rv s="0">
    <fb>46055</fb>
    <v>0</v>
  </rv>
  <rv s="0">
    <fb>210.32</fb>
    <v>1</v>
  </rv>
  <rv s="0">
    <fb>411.11</fb>
    <v>1</v>
  </rv>
  <rv s="0">
    <fb>46062</fb>
    <v>0</v>
  </rv>
  <rv s="0">
    <fb>198.79</fb>
    <v>1</v>
  </rv>
  <rv s="0">
    <fb>417.44</fb>
    <v>1</v>
  </rv>
  <rv s="0">
    <fb>46070</fb>
    <v>0</v>
  </rv>
  <rv s="0">
    <fb>210.11</fb>
    <v>1</v>
  </rv>
  <rv s="0">
    <fb>411.82</fb>
    <v>1</v>
  </rv>
  <rv s="0">
    <fb>46076</fb>
    <v>0</v>
  </rv>
  <rv s="0">
    <fb>210</fb>
    <v>1</v>
  </rv>
  <rv s="0">
    <fb>402.51</fb>
    <v>1</v>
  </rv>
  <rv s="0">
    <fb>46083</fb>
    <v>0</v>
  </rv>
  <rv s="0">
    <fb>213.21</fb>
    <v>1</v>
  </rv>
  <rv s="0">
    <fb>396.73</fb>
    <v>1</v>
  </rv>
  <rv s="0">
    <fb>46090</fb>
    <v>0</v>
  </rv>
  <rv s="0">
    <fb>391.2</fb>
    <v>1</v>
  </rv>
  <rv s="0">
    <fb>46097</fb>
    <v>0</v>
  </rv>
  <rv s="0">
    <fb>205.37</fb>
    <v>1</v>
  </rv>
  <rv s="0">
    <fb>367.96</fb>
    <v>1</v>
  </rv>
  <rv s="0">
    <fb>46104</fb>
    <v>0</v>
  </rv>
  <rv s="0">
    <fb>199.34</fb>
    <v>1</v>
  </rv>
  <rv s="0">
    <fb>361.83</fb>
    <v>1</v>
  </rv>
  <rv s="0">
    <fb>46111</fb>
    <v>0</v>
  </rv>
  <rv s="0">
    <fb>209.77</fb>
    <v>1</v>
  </rv>
  <rv s="0">
    <fb>360.59</fb>
    <v>1</v>
  </rv>
  <rv s="0">
    <fb>46118</fb>
    <v>0</v>
  </rv>
  <rv s="0">
    <fb>238.38</fb>
    <v>1</v>
  </rv>
  <rv s="0">
    <fb>348.95</fb>
    <v>1</v>
  </rv>
  <rv s="0">
    <fb>46125</fb>
    <v>0</v>
  </rv>
  <rv s="0">
    <fb>250.56</fb>
    <v>1</v>
  </rv>
  <rv s="0">
    <fb>400.62</fb>
    <v>1</v>
  </rv>
  <rv s="0">
    <fb>46132</fb>
    <v>0</v>
  </rv>
  <rv s="0">
    <fb>263.99</fb>
    <v>1</v>
  </rv>
  <rv s="0">
    <fb>376.3</fb>
    <v>1</v>
  </rv>
  <rv s="0">
    <fb>46139</fb>
    <v>0</v>
  </rv>
  <rv s="0">
    <fb>268.26</fb>
    <v>1</v>
  </rv>
  <rv s="0">
    <fb>390.82</fb>
    <v>1</v>
  </rv>
  <rv s="0">
    <fb>46146</fb>
    <v>0</v>
  </rv>
  <rv s="0">
    <fb>272.68</fb>
    <v>1</v>
  </rv>
  <rv s="0">
    <fb>428.35</fb>
    <v>1</v>
  </rv>
  <rv s="0">
    <fb>46153</fb>
    <v>0</v>
  </rv>
  <rv s="0">
    <fb>264.14</fb>
    <v>1</v>
  </rv>
  <rv s="0">
    <fb>422.24</fb>
    <v>1</v>
  </rv>
  <rv s="0">
    <fb>46160</fb>
    <v>0</v>
  </rv>
  <rv s="0">
    <fb>266.32</fb>
    <v>1</v>
  </rv>
  <rv s="0">
    <fb>426.01</fb>
    <v>1</v>
  </rv>
  <rv s="0">
    <fb>46168</fb>
    <v>0</v>
  </rv>
  <rv s="0">
    <fb>270.64</fb>
    <v>1</v>
  </rv>
  <rv s="0">
    <fb>435.79</fb>
    <v>1</v>
  </rv>
  <rv s="0">
    <fb>46174</fb>
    <v>0</v>
  </rv>
  <rv s="0">
    <fb>246.03</fb>
    <v>1</v>
  </rv>
  <rv s="0">
    <fb>391</fb>
    <v>1</v>
  </rv>
  <rv s="0">
    <fb>46181</fb>
    <v>0</v>
  </rv>
  <rv s="0">
    <fb>238.55</fb>
    <v>1</v>
  </rv>
  <rv s="0">
    <fb>406.43</fb>
    <v>1</v>
  </rv>
  <rv s="0">
    <fb>46188</fb>
    <v>0</v>
  </rv>
  <rv s="0">
    <fb>244.39</fb>
    <v>1</v>
  </rv>
  <rv s="0">
    <fb>400.49</fb>
    <v>1</v>
  </rv>
  <rv s="0">
    <fb>46195</fb>
    <v>0</v>
  </rv>
  <rv s="0">
    <fb>232.69</fb>
    <v>1</v>
  </rv>
  <rv s="0">
    <fb>379.71</fb>
    <v>1</v>
  </rv>
  <rv s="0">
    <fb>46202</fb>
    <v>0</v>
  </rv>
  <rv s="0">
    <fb>242.67</fb>
    <v>1</v>
  </rv>
  <rv s="0">
    <fb>393.45</fb>
    <v>1</v>
  </rv>
  <rv s="0">
    <fb>46209</fb>
    <v>0</v>
  </rv>
  <rv s="0">
    <fb>245.34</fb>
    <v>1</v>
  </rv>
  <rv s="0">
    <fb>407.76</fb>
    <v>1</v>
  </rv>
  <rv s="0">
    <fb>46216</fb>
    <v>0</v>
  </rv>
  <rv s="0">
    <fb>247.23</fb>
    <v>1</v>
  </rv>
  <rv s="0">
    <fb>380.84</fb>
    <v>1</v>
  </rv>
  <rv s="0">
    <fb>46223</fb>
    <v>0</v>
  </rv>
  <rv s="0">
    <fb>232.11</fb>
    <v>1</v>
  </rv>
  <rv s="0">
    <fb>313.02999999999997</fb>
    <v>1</v>
  </rv>
  <rv s="0">
    <fb>46230</fb>
    <v>0</v>
  </rv>
  <rv s="0">
    <fb>271.58</fb>
    <v>1</v>
  </rv>
  <rv s="0">
    <fb>311.20999999999998</fb>
    <v>1</v>
  </rv>
  <rv s="0">
    <fb>46237</fb>
    <v>0</v>
  </rv>
  <rv s="0">
    <fb>274.48</fb>
    <v>1</v>
  </rv>
  <rv s="0">
    <fb>328.58</fb>
    <v>1</v>
  </rv>
  <rv s="0">
    <fb>46244</fb>
    <v>0</v>
  </rv>
  <rv s="0">
    <fb>262.64999999999998</fb>
    <v>1</v>
  </rv>
  <rv s="0">
    <fb>342.27</fb>
    <v>1</v>
  </rv>
  <rv s="0">
    <fb>46251</fb>
    <v>0</v>
  </rv>
  <rv s="0">
    <fb>258.63</fb>
    <v>1</v>
  </rv>
  <rv s="0">
    <fb>362.86</fb>
    <v>1</v>
  </rv>
  <rv s="0">
    <fb>46258</fb>
    <v>0</v>
  </rv>
  <rv s="0">
    <fb>266.43</fb>
    <v>1</v>
  </rv>
  <rv s="0">
    <fb>348.75</fb>
    <v>1</v>
  </rv>
  <rv s="0">
    <fb>46265</fb>
    <v>0</v>
  </rv>
  <rv s="0">
    <fb>258.51</fb>
    <v>1</v>
  </rv>
  <rv s="0">
    <fb>354.08</fb>
    <v>1</v>
  </rv>
  <rv s="0">
    <fb>46273</fb>
    <v>0</v>
  </rv>
  <rv s="0">
    <fb>256.77999999999997</fb>
    <v>1</v>
  </rv>
  <rv s="0">
    <fb>365.44</fb>
    <v>1</v>
  </rv>
  <rv s="0">
    <fb>46279</fb>
    <v>0</v>
  </rv>
  <rv s="0">
    <fb>253.71</fb>
    <v>1</v>
  </rv>
  <rv s="0">
    <fb>364.27</fb>
    <v>1</v>
  </rv>
  <rv s="0">
    <fb>46286</fb>
    <v>0</v>
  </rv>
  <rv s="0">
    <fb>249.67</fb>
    <v>1</v>
  </rv>
  <rv s="0">
    <fb>372.11</fb>
    <v>1</v>
  </rv>
  <rv s="0">
    <fb>46293</fb>
    <v>0</v>
  </rv>
  <rv s="0">
    <fb>370.59</fb>
    <v>1</v>
  </rv>
  <rv s="0">
    <fb>46300</fb>
    <v>0</v>
  </rv>
  <rv s="0">
    <fb>262.43</fb>
    <v>1</v>
  </rv>
  <rv s="0">
    <fb>382.7</fb>
    <v>1</v>
  </rv>
  <rv s="0">
    <fb>46307</fb>
    <v>0</v>
  </rv>
  <rv s="0">
    <fb>250</fb>
    <v>1</v>
  </rv>
  <rv s="0">
    <fb>354.72</fb>
    <v>1</v>
  </rv>
  <rv s="1">
    <v>2</v>
    <v>TSLA</v>
    <v>Weekly</v>
    <v>45263</v>
    <v>46319</v>
    <v>0</v>
    <v>1</v>
    <v>639277056000000000,639279364993372668,0</v>
    <v>0</v>
    <v>a24kar</v>
    <v>XNAS:TSLA</v>
    <v>1</v>
  </rv>
  <rv s="1">
    <v>2</v>
    <v>AMZN</v>
    <v>Weekly</v>
    <v>45263</v>
    <v>46319</v>
    <v>0</v>
    <v>1</v>
    <v>639277056000000000,639279364993557063,0</v>
    <v>0</v>
    <v>a1nhlh</v>
    <v>XNAS:AMZN</v>
    <v>2</v>
  </rv>
</rvData>
</file>

<file path=xl/richData/rdrichvaluestructure.xml><?xml version="1.0" encoding="utf-8"?>
<rvStructures xmlns="http://schemas.microsoft.com/office/spreadsheetml/2017/richdata" count="2">
  <s t="_formattednumber">
    <k n="_Format" t="spb"/>
  </s>
  <s t="_stockhistorycache">
    <k n="_Format" t="spb"/>
    <k n="Symbol" t="s"/>
    <k n="Interval" t="s"/>
    <k n="StartDate" t="i"/>
    <k n="EndDate" t="i"/>
    <k n="f1904" t="b"/>
    <k n="fdcompat" t="b"/>
    <k n="etag" t="s"/>
    <k n="Date" t="a"/>
    <k n="EntityId" t="s"/>
    <k n="Instrument" t="s"/>
    <k n="Close" t="a"/>
  </s>
</rvStructures>
</file>

<file path=xl/richData/rdsupportingpropertybag.xml><?xml version="1.0" encoding="utf-8"?>
<supportingPropertyBags xmlns="http://schemas.microsoft.com/office/spreadsheetml/2017/richdata2">
  <spbData count="3">
    <spb s="0">
      <v>1</v>
    </spb>
    <spb s="0">
      <v>2</v>
    </spb>
    <spb s="1">
      <v>1</v>
      <v>2</v>
    </spb>
  </spbData>
</supportingPropertyBags>
</file>

<file path=xl/richData/rdsupportingpropertybagstructure.xml><?xml version="1.0" encoding="utf-8"?>
<spbStructures xmlns="http://schemas.microsoft.com/office/spreadsheetml/2017/richdata2" count="2">
  <s>
    <k n="_Self" t="i"/>
  </s>
  <s>
    <k n="Date" t="i"/>
    <k n="Clos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19" formatCode="m/d/yyyy"/>
    </x:dxf>
    <x:dxf>
      <x:numFmt numFmtId="0" formatCode="General"/>
    </x:dxf>
  </dxfs>
  <richProperties>
    <rPr n="NumberFormat" t="s"/>
  </richProperties>
  <richStyles>
    <rSty dxfid="0"/>
    <rSty dxfid="1">
      <rpv i="0">_([$$-en-US]* #,##0.00_);_([$$-en-US]* (#,##0.00);_([$$-en-US]* "-"??_);_(@_)</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3"/>
  <sheetViews>
    <sheetView tabSelected="1" workbookViewId="0">
      <selection activeCell="C13" sqref="C13"/>
    </sheetView>
  </sheetViews>
  <sheetFormatPr defaultRowHeight="15"/>
  <cols>
    <col min="1" max="1" width="26.5703125" customWidth="1"/>
    <col min="2" max="2" width="72.140625" customWidth="1"/>
    <col min="3" max="3" width="47.85546875" customWidth="1"/>
    <col min="4" max="4" width="22" customWidth="1"/>
  </cols>
  <sheetData>
    <row r="1" spans="1:4" ht="15.75">
      <c r="A1" s="2"/>
      <c r="B1" s="57" t="s">
        <v>0</v>
      </c>
      <c r="C1" s="57"/>
    </row>
    <row r="2" spans="1:4" ht="15.75" customHeight="1">
      <c r="A2" s="2"/>
      <c r="B2" s="55" t="s">
        <v>1</v>
      </c>
      <c r="C2" s="56"/>
    </row>
    <row r="3" spans="1:4" ht="15.75">
      <c r="A3" s="3"/>
      <c r="B3" s="56"/>
      <c r="C3" s="56"/>
    </row>
    <row r="4" spans="1:4" ht="15.75">
      <c r="A4" s="3"/>
      <c r="B4" s="56"/>
      <c r="C4" s="56"/>
    </row>
    <row r="5" spans="1:4" ht="15" customHeight="1">
      <c r="B5" s="56"/>
      <c r="C5" s="56"/>
    </row>
    <row r="6" spans="1:4" ht="36" customHeight="1">
      <c r="A6" s="51"/>
      <c r="B6" s="56"/>
      <c r="C6" s="56"/>
      <c r="D6" s="1"/>
    </row>
    <row r="7" spans="1:4" s="42" customFormat="1">
      <c r="B7" s="42" t="s">
        <v>2</v>
      </c>
    </row>
    <row r="8" spans="1:4" s="42" customFormat="1">
      <c r="A8" s="53"/>
      <c r="B8" s="54" t="s">
        <v>3</v>
      </c>
    </row>
    <row r="9" spans="1:4" ht="30.75">
      <c r="B9" s="52" t="s">
        <v>4</v>
      </c>
    </row>
    <row r="10" spans="1:4">
      <c r="A10" s="1"/>
    </row>
    <row r="12" spans="1:4">
      <c r="A12" s="1" t="str">
        <f>CONCATENATE("Histogram1: Returns of ",B4)</f>
        <v xml:space="preserve">Histogram1: Returns of </v>
      </c>
      <c r="C12" s="1" t="str">
        <f>CONCATENATE("Histogram2: Returns of ",B5)</f>
        <v xml:space="preserve">Histogram2: Returns of </v>
      </c>
    </row>
    <row r="36" spans="1:4">
      <c r="B36" s="48" t="s">
        <v>5</v>
      </c>
    </row>
    <row r="38" spans="1:4">
      <c r="A38" s="1"/>
    </row>
    <row r="39" spans="1:4">
      <c r="A39" s="8"/>
      <c r="B39" s="9" t="s">
        <v>6</v>
      </c>
      <c r="C39" s="9" t="s">
        <v>7</v>
      </c>
      <c r="D39" s="7" t="s">
        <v>8</v>
      </c>
    </row>
    <row r="40" spans="1:4">
      <c r="A40" s="8">
        <f>B3</f>
        <v>0</v>
      </c>
      <c r="B40" s="33">
        <v>5.5730299999999997E-3</v>
      </c>
      <c r="C40" s="10">
        <v>8.6264374000000005E-2</v>
      </c>
      <c r="D40" s="6">
        <v>0.440473059</v>
      </c>
    </row>
    <row r="41" spans="1:4">
      <c r="A41" s="5">
        <f>B4</f>
        <v>0</v>
      </c>
      <c r="B41" s="32">
        <v>4.84608E-3</v>
      </c>
      <c r="C41" s="6">
        <v>4.6127251000000001E-2</v>
      </c>
    </row>
    <row r="43" spans="1:4" ht="36" customHeight="1">
      <c r="B43" s="50" t="s">
        <v>9</v>
      </c>
    </row>
    <row r="44" spans="1:4">
      <c r="A44" s="1"/>
    </row>
    <row r="45" spans="1:4">
      <c r="A45" s="8"/>
      <c r="B45" s="9" t="s">
        <v>10</v>
      </c>
    </row>
    <row r="46" spans="1:4">
      <c r="A46" s="8">
        <f>B3</f>
        <v>0</v>
      </c>
      <c r="B46" s="8">
        <v>-0.37868142857142861</v>
      </c>
    </row>
    <row r="47" spans="1:4">
      <c r="A47" s="5">
        <f>B4</f>
        <v>0</v>
      </c>
      <c r="B47" s="5">
        <v>-9.9178818181818215E-2</v>
      </c>
    </row>
    <row r="49" spans="1:2" ht="51" customHeight="1">
      <c r="A49" s="1"/>
      <c r="B49" s="50" t="s">
        <v>11</v>
      </c>
    </row>
    <row r="71" spans="1:2">
      <c r="A71" s="1"/>
    </row>
    <row r="72" spans="1:2" ht="30.75">
      <c r="A72" s="1"/>
      <c r="B72" s="49" t="s">
        <v>12</v>
      </c>
    </row>
    <row r="73" spans="1:2">
      <c r="A73" t="s">
        <v>13</v>
      </c>
      <c r="B73">
        <v>1E-3</v>
      </c>
    </row>
    <row r="74" spans="1:2">
      <c r="A74" t="s">
        <v>14</v>
      </c>
      <c r="B74" t="s">
        <v>15</v>
      </c>
    </row>
    <row r="75" spans="1:2">
      <c r="A75" s="8" t="s">
        <v>16</v>
      </c>
      <c r="B75" s="36">
        <v>0.9</v>
      </c>
    </row>
    <row r="76" spans="1:2">
      <c r="A76" s="4" t="s">
        <v>17</v>
      </c>
      <c r="B76" s="37">
        <v>4.9187759999999997E-3</v>
      </c>
    </row>
    <row r="77" spans="1:2">
      <c r="A77" s="4" t="s">
        <v>18</v>
      </c>
      <c r="B77" s="37">
        <v>4.5971272000000001E-2</v>
      </c>
    </row>
    <row r="78" spans="1:2">
      <c r="A78" s="5" t="s">
        <v>19</v>
      </c>
      <c r="B78" s="34">
        <v>0.10699672417720303</v>
      </c>
    </row>
    <row r="80" spans="1:2">
      <c r="A80" s="1"/>
    </row>
    <row r="81" spans="1:4" ht="30.75">
      <c r="A81" s="1"/>
      <c r="B81" s="49" t="s">
        <v>20</v>
      </c>
      <c r="C81" s="40" t="s">
        <v>21</v>
      </c>
    </row>
    <row r="82" spans="1:4">
      <c r="A82" t="s">
        <v>13</v>
      </c>
      <c r="B82">
        <v>1E-3</v>
      </c>
      <c r="C82">
        <f>B82-0.0005</f>
        <v>5.0000000000000001E-4</v>
      </c>
      <c r="D82">
        <v>0</v>
      </c>
    </row>
    <row r="83" spans="1:4">
      <c r="A83" t="s">
        <v>19</v>
      </c>
      <c r="B83">
        <v>8.5233129000000005E-2</v>
      </c>
      <c r="C83">
        <v>9.6117647000000001E-2</v>
      </c>
      <c r="D83">
        <v>0.106996724</v>
      </c>
    </row>
  </sheetData>
  <mergeCells count="2">
    <mergeCell ref="B2:C6"/>
    <mergeCell ref="B1:C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6A0CC-F533-404B-84AC-BAE1D70EEF1B}">
  <dimension ref="A1:O153"/>
  <sheetViews>
    <sheetView workbookViewId="0">
      <selection activeCell="A4" sqref="A4"/>
    </sheetView>
  </sheetViews>
  <sheetFormatPr defaultRowHeight="15"/>
  <cols>
    <col min="1" max="1" width="15.28515625" customWidth="1"/>
    <col min="3" max="3" width="14.7109375" customWidth="1"/>
    <col min="4" max="4" width="49.7109375" customWidth="1"/>
    <col min="5" max="5" width="15.7109375" customWidth="1"/>
    <col min="7" max="7" width="12.140625" customWidth="1"/>
    <col min="8" max="8" width="51.28515625" customWidth="1"/>
    <col min="9" max="9" width="15" customWidth="1"/>
    <col min="10" max="10" width="11.28515625" customWidth="1"/>
    <col min="11" max="11" width="11.42578125" customWidth="1"/>
    <col min="12" max="12" width="27.7109375" customWidth="1"/>
    <col min="13" max="13" width="15.7109375" customWidth="1"/>
    <col min="14" max="14" width="11.28515625" customWidth="1"/>
    <col min="15" max="15" width="10.5703125" customWidth="1"/>
    <col min="16" max="16" width="22" customWidth="1"/>
  </cols>
  <sheetData>
    <row r="1" spans="1:15">
      <c r="A1" s="15" t="str" cm="1">
        <f t="array" aca="1" ref="A1:B151" ca="1">_xlfn.STOCKHISTORY("AMZN", TODAY()-(7*150), TODAY(),1,1)</f>
        <v>Date</v>
      </c>
      <c r="B1" s="15" t="str">
        <f ca="1"/>
        <v>Close</v>
      </c>
      <c r="C1" s="15" t="s">
        <v>22</v>
      </c>
      <c r="D1" s="41"/>
      <c r="E1" s="16" t="str" cm="1">
        <f t="array" aca="1" ref="E1:F151" ca="1">_xlfn.STOCKHISTORY("TSLA", TODAY()-(7*150), TODAY(),1,1)</f>
        <v>Date</v>
      </c>
      <c r="F1" s="16" t="str">
        <f ca="1"/>
        <v>Close</v>
      </c>
      <c r="G1" s="16" t="s">
        <v>23</v>
      </c>
      <c r="H1" s="42" t="s">
        <v>24</v>
      </c>
      <c r="I1" s="21" t="s">
        <v>25</v>
      </c>
      <c r="J1" s="20"/>
      <c r="M1" s="17" t="s">
        <v>26</v>
      </c>
      <c r="N1" s="13"/>
    </row>
    <row r="2" spans="1:15">
      <c r="A2" s="12" vm="1">
        <f ca="1"/>
        <v>45264</v>
      </c>
      <c r="B2" s="12" vm="2">
        <f ca="1"/>
        <v>147.41999999999999</v>
      </c>
      <c r="C2" s="12"/>
      <c r="D2" s="41"/>
      <c r="E2" s="12" vm="1">
        <f ca="1"/>
        <v>45264</v>
      </c>
      <c r="F2" s="12" vm="3">
        <f ca="1"/>
        <v>243.84</v>
      </c>
      <c r="G2" s="12"/>
      <c r="H2" s="47">
        <f>Risk_and_Portfolio_Metrics!$O$49</f>
        <v>1E-3</v>
      </c>
      <c r="I2" s="22" t="s">
        <v>27</v>
      </c>
      <c r="J2" s="20">
        <f ca="1">AVERAGE(C3:C152)</f>
        <v>-2.2276395471952631E-3</v>
      </c>
      <c r="M2" s="18" t="s">
        <v>27</v>
      </c>
      <c r="N2" s="13">
        <f ca="1">AVERAGE(G3:G152)</f>
        <v>-1.5486403914072471E-3</v>
      </c>
    </row>
    <row r="3" spans="1:15">
      <c r="A3" s="12" vm="4">
        <f ca="1"/>
        <v>45271</v>
      </c>
      <c r="B3" s="12" vm="5">
        <f ca="1"/>
        <v>149.97</v>
      </c>
      <c r="C3" s="14">
        <f ca="1">(B3-B2)/B2</f>
        <v>1.7297517297517377E-2</v>
      </c>
      <c r="D3" s="41"/>
      <c r="E3" s="12" vm="4">
        <f ca="1"/>
        <v>45271</v>
      </c>
      <c r="F3" s="12" vm="6">
        <f ca="1"/>
        <v>253.5</v>
      </c>
      <c r="G3" s="14">
        <f ca="1">(F3-F2)/F2</f>
        <v>3.961614173228345E-2</v>
      </c>
      <c r="H3" s="47">
        <f>Risk_and_Portfolio_Metrics!$O$49</f>
        <v>1E-3</v>
      </c>
      <c r="I3" s="22" t="s">
        <v>28</v>
      </c>
      <c r="J3" s="20">
        <f ca="1">STDEV(C3:C152)</f>
        <v>9.264233241350095E-2</v>
      </c>
      <c r="M3" s="18" t="s">
        <v>28</v>
      </c>
      <c r="N3" s="13">
        <f ca="1">STDEV(G3:G152)</f>
        <v>0.11033813370660005</v>
      </c>
    </row>
    <row r="4" spans="1:15">
      <c r="A4" s="12" vm="7">
        <f ca="1"/>
        <v>45278</v>
      </c>
      <c r="B4" s="12" vm="8">
        <f ca="1"/>
        <v>153.41999999999999</v>
      </c>
      <c r="C4" s="14">
        <f t="shared" ref="C4:C67" ca="1" si="0">(B4-B3)/B3</f>
        <v>2.300460092018396E-2</v>
      </c>
      <c r="D4" s="41"/>
      <c r="E4" s="12" vm="7">
        <f ca="1"/>
        <v>45278</v>
      </c>
      <c r="F4" s="12" vm="9">
        <f ca="1"/>
        <v>252.54</v>
      </c>
      <c r="G4" s="14">
        <f t="shared" ref="G4:G67" ca="1" si="1">(F4-F3)/F3</f>
        <v>-3.7869822485207412E-3</v>
      </c>
      <c r="H4" s="47">
        <f>Risk_and_Portfolio_Metrics!$O$49</f>
        <v>1E-3</v>
      </c>
      <c r="I4" s="23"/>
      <c r="J4" s="20"/>
      <c r="M4" s="19"/>
      <c r="N4" s="13"/>
    </row>
    <row r="5" spans="1:15">
      <c r="A5" s="12" vm="10">
        <f ca="1"/>
        <v>45286</v>
      </c>
      <c r="B5" s="12" vm="11">
        <f ca="1"/>
        <v>151.94</v>
      </c>
      <c r="C5" s="14">
        <f t="shared" ca="1" si="0"/>
        <v>-9.6467214183287055E-3</v>
      </c>
      <c r="D5" s="41"/>
      <c r="E5" s="12" vm="10">
        <f ca="1"/>
        <v>45286</v>
      </c>
      <c r="F5" s="12" vm="12">
        <f ca="1"/>
        <v>248.48</v>
      </c>
      <c r="G5" s="14">
        <f t="shared" ca="1" si="1"/>
        <v>-1.6076661122990426E-2</v>
      </c>
      <c r="H5" s="47">
        <f>Risk_and_Portfolio_Metrics!$O$49</f>
        <v>1E-3</v>
      </c>
      <c r="I5" s="22" t="s">
        <v>29</v>
      </c>
      <c r="J5" s="20">
        <v>0.95</v>
      </c>
      <c r="M5" s="18" t="s">
        <v>30</v>
      </c>
      <c r="N5" s="20">
        <v>0.95</v>
      </c>
    </row>
    <row r="6" spans="1:15">
      <c r="A6" s="12" vm="13">
        <f ca="1"/>
        <v>45293</v>
      </c>
      <c r="B6" s="12" vm="14">
        <f ca="1"/>
        <v>145.24</v>
      </c>
      <c r="C6" s="14">
        <f t="shared" ca="1" si="0"/>
        <v>-4.4096353823877769E-2</v>
      </c>
      <c r="D6" s="41"/>
      <c r="E6" s="12" vm="13">
        <f ca="1"/>
        <v>45293</v>
      </c>
      <c r="F6" s="12" vm="15">
        <f ca="1"/>
        <v>237.49</v>
      </c>
      <c r="G6" s="14">
        <f t="shared" ca="1" si="1"/>
        <v>-4.4228911783644485E-2</v>
      </c>
      <c r="H6" s="47">
        <f>Risk_and_Portfolio_Metrics!$O$49</f>
        <v>1E-3</v>
      </c>
      <c r="I6" s="22" t="s">
        <v>31</v>
      </c>
      <c r="J6" s="20" cm="1">
        <f t="array" aca="1" ref="J6" ca="1">INDEX(I18:I28, MATCH(TRUE, K19:K29 &gt; (1 - $J$5), 0))</f>
        <v>-6.4000000000000043E-2</v>
      </c>
      <c r="K6" cm="1">
        <f t="array" aca="1" ref="K6" ca="1">INDEX(K18:K28, MATCH(TRUE, K18:K28 &gt; (1 - J5), 0))</f>
        <v>0.83892617449664431</v>
      </c>
      <c r="M6" s="18" t="s">
        <v>32</v>
      </c>
      <c r="N6" s="13" cm="1">
        <f t="array" aca="1" ref="N6" ca="1">INDEX(M18:M28, MATCH(TRUE, O19:O29 &gt; (1 - $N$5), 0))</f>
        <v>-0.22599999999999998</v>
      </c>
      <c r="O6" cm="1">
        <f t="array" aca="1" ref="O6" ca="1">INDEX(O18:O28, MATCH(TRUE, O18:O28 &gt; (1 - N5), 0))</f>
        <v>6.7114093959731544E-2</v>
      </c>
    </row>
    <row r="7" spans="1:15">
      <c r="A7" s="12" vm="16">
        <f ca="1"/>
        <v>45299</v>
      </c>
      <c r="B7" s="12" vm="17">
        <f ca="1"/>
        <v>154.62</v>
      </c>
      <c r="C7" s="14">
        <f t="shared" ca="1" si="0"/>
        <v>6.4582759570366258E-2</v>
      </c>
      <c r="D7" s="41"/>
      <c r="E7" s="12" vm="16">
        <f ca="1"/>
        <v>45299</v>
      </c>
      <c r="F7" s="12" vm="18">
        <f ca="1"/>
        <v>218.89</v>
      </c>
      <c r="G7" s="14">
        <f t="shared" ca="1" si="1"/>
        <v>-7.8319087119457759E-2</v>
      </c>
      <c r="H7" s="47">
        <f>Risk_and_Portfolio_Metrics!$O$49</f>
        <v>1E-3</v>
      </c>
      <c r="I7" s="22" t="s">
        <v>33</v>
      </c>
      <c r="J7" s="20" cm="1">
        <f t="array" aca="1" ref="J7" ca="1">INDEX(I18:I28, MATCH(TRUE, K18:K29 &gt; (1 - J5), 0))</f>
        <v>5.2999999999999964E-2</v>
      </c>
      <c r="K7" cm="1">
        <f t="array" aca="1" ref="K7" ca="1">INDEX(K18:K28, MATCH(TRUE, K19:K28 &gt; (1 - J5), 0))</f>
        <v>4.0268456375838924E-2</v>
      </c>
      <c r="M7" s="18" t="s">
        <v>33</v>
      </c>
      <c r="N7" s="13" cm="1">
        <f t="array" aca="1" ref="N7" ca="1">INDEX(M18:M28, MATCH(TRUE, O18:O29 &gt; (1 - N5), 0))</f>
        <v>-9.6999999999999975E-2</v>
      </c>
      <c r="O7" cm="1">
        <f t="array" aca="1" ref="O7" ca="1">INDEX(O18:O28, MATCH(TRUE, O19:O28 &gt; (1 - N5), 0))</f>
        <v>0</v>
      </c>
    </row>
    <row r="8" spans="1:15">
      <c r="A8" s="12" vm="19">
        <f ca="1"/>
        <v>45307</v>
      </c>
      <c r="B8" s="12" vm="20">
        <f ca="1"/>
        <v>155.34</v>
      </c>
      <c r="C8" s="14">
        <f t="shared" ca="1" si="0"/>
        <v>4.6565774155995264E-3</v>
      </c>
      <c r="D8" s="41"/>
      <c r="E8" s="12" vm="19">
        <f ca="1"/>
        <v>45307</v>
      </c>
      <c r="F8" s="12" vm="21">
        <f ca="1"/>
        <v>212.19</v>
      </c>
      <c r="G8" s="14">
        <f t="shared" ca="1" si="1"/>
        <v>-3.060898168029599E-2</v>
      </c>
      <c r="H8" s="47">
        <f>Risk_and_Portfolio_Metrics!$O$49</f>
        <v>1E-3</v>
      </c>
      <c r="I8" s="21" t="s">
        <v>10</v>
      </c>
      <c r="J8" s="43">
        <f ca="1">J7+(((1-0.95)-J6)/(K6-K7))*(J6-J7)</f>
        <v>3.6299478991596593E-2</v>
      </c>
      <c r="M8" s="17" t="s">
        <v>10</v>
      </c>
      <c r="N8" s="13">
        <f ca="1">N7+(((1-0.95)-N6)/(O6-O7))*(N6-N7)</f>
        <v>-0.62749960000000005</v>
      </c>
    </row>
    <row r="9" spans="1:15">
      <c r="A9" s="12" vm="22">
        <f ca="1"/>
        <v>45313</v>
      </c>
      <c r="B9" s="12" vm="23">
        <f ca="1"/>
        <v>159.12</v>
      </c>
      <c r="C9" s="14">
        <f t="shared" ca="1" si="0"/>
        <v>2.4333719582850528E-2</v>
      </c>
      <c r="D9" s="41"/>
      <c r="E9" s="12" vm="22">
        <f ca="1"/>
        <v>45313</v>
      </c>
      <c r="F9" s="12" vm="24">
        <f ca="1"/>
        <v>183.25</v>
      </c>
      <c r="G9" s="14">
        <f t="shared" ca="1" si="1"/>
        <v>-0.13638720015080824</v>
      </c>
      <c r="H9" s="47">
        <f>Risk_and_Portfolio_Metrics!$O$49</f>
        <v>1E-3</v>
      </c>
    </row>
    <row r="10" spans="1:15">
      <c r="A10" s="12" vm="25">
        <f ca="1"/>
        <v>45320</v>
      </c>
      <c r="B10" s="12" vm="26">
        <f ca="1"/>
        <v>171.81</v>
      </c>
      <c r="C10" s="14">
        <f t="shared" ca="1" si="0"/>
        <v>7.9751131221719437E-2</v>
      </c>
      <c r="D10" s="41"/>
      <c r="E10" s="12" vm="25">
        <f ca="1"/>
        <v>45320</v>
      </c>
      <c r="F10" s="12" vm="27">
        <f ca="1"/>
        <v>187.91</v>
      </c>
      <c r="G10" s="14">
        <f t="shared" ca="1" si="1"/>
        <v>2.5429740791268741E-2</v>
      </c>
      <c r="H10" s="47">
        <f>Risk_and_Portfolio_Metrics!$O$49</f>
        <v>1E-3</v>
      </c>
    </row>
    <row r="11" spans="1:15">
      <c r="A11" s="12" vm="28">
        <f ca="1"/>
        <v>45327</v>
      </c>
      <c r="B11" s="12" vm="29">
        <f ca="1"/>
        <v>174.45</v>
      </c>
      <c r="C11" s="14">
        <f t="shared" ca="1" si="0"/>
        <v>1.536581107036835E-2</v>
      </c>
      <c r="D11" s="41"/>
      <c r="E11" s="12" vm="28">
        <f ca="1"/>
        <v>45327</v>
      </c>
      <c r="F11" s="12" vm="30">
        <f ca="1"/>
        <v>193.57</v>
      </c>
      <c r="G11" s="14">
        <f t="shared" ca="1" si="1"/>
        <v>3.0120802511840756E-2</v>
      </c>
      <c r="H11" s="47">
        <f>Risk_and_Portfolio_Metrics!$O$49</f>
        <v>1E-3</v>
      </c>
      <c r="I11" s="60" t="s">
        <v>34</v>
      </c>
      <c r="J11" s="60"/>
      <c r="K11" s="60"/>
      <c r="L11" s="60"/>
      <c r="M11" s="60"/>
      <c r="N11" s="60"/>
      <c r="O11" s="44">
        <f ca="1">CORREL(C3:C152,G3:G152)</f>
        <v>0.76682223380627013</v>
      </c>
    </row>
    <row r="12" spans="1:15">
      <c r="A12" s="12" vm="31">
        <f ca="1"/>
        <v>45334</v>
      </c>
      <c r="B12" s="12" vm="32">
        <f ca="1"/>
        <v>169.51</v>
      </c>
      <c r="C12" s="14">
        <f t="shared" ca="1" si="0"/>
        <v>-2.8317569504155909E-2</v>
      </c>
      <c r="D12" s="41"/>
      <c r="E12" s="12" vm="31">
        <f ca="1"/>
        <v>45334</v>
      </c>
      <c r="F12" s="12" vm="33">
        <f ca="1"/>
        <v>199.95</v>
      </c>
      <c r="G12" s="14">
        <f t="shared" ca="1" si="1"/>
        <v>3.2959652838766312E-2</v>
      </c>
      <c r="H12" s="47">
        <f>Risk_and_Portfolio_Metrics!$O$49</f>
        <v>1E-3</v>
      </c>
    </row>
    <row r="13" spans="1:15">
      <c r="A13" s="12" vm="34">
        <f ca="1"/>
        <v>45342</v>
      </c>
      <c r="B13" s="12" vm="35">
        <f ca="1"/>
        <v>174.99</v>
      </c>
      <c r="C13" s="14">
        <f t="shared" ca="1" si="0"/>
        <v>3.2328476196094733E-2</v>
      </c>
      <c r="D13" s="41"/>
      <c r="E13" s="12" vm="34">
        <f ca="1"/>
        <v>45342</v>
      </c>
      <c r="F13" s="12" vm="36">
        <f ca="1"/>
        <v>191.97</v>
      </c>
      <c r="G13" s="14">
        <f t="shared" ca="1" si="1"/>
        <v>-3.9909977494373541E-2</v>
      </c>
      <c r="H13" s="47">
        <f>Risk_and_Portfolio_Metrics!$O$49</f>
        <v>1E-3</v>
      </c>
    </row>
    <row r="14" spans="1:15">
      <c r="A14" s="12" vm="37">
        <f ca="1"/>
        <v>45348</v>
      </c>
      <c r="B14" s="12" vm="38">
        <f ca="1"/>
        <v>178.22</v>
      </c>
      <c r="C14" s="14">
        <f t="shared" ca="1" si="0"/>
        <v>1.8458197611292016E-2</v>
      </c>
      <c r="D14" s="41"/>
      <c r="E14" s="12" vm="37">
        <f ca="1"/>
        <v>45348</v>
      </c>
      <c r="F14" s="12" vm="39">
        <f ca="1"/>
        <v>202.64</v>
      </c>
      <c r="G14" s="14">
        <f t="shared" ca="1" si="1"/>
        <v>5.5581601291868454E-2</v>
      </c>
      <c r="H14" s="47">
        <f>Risk_and_Portfolio_Metrics!$O$49</f>
        <v>1E-3</v>
      </c>
    </row>
    <row r="15" spans="1:15">
      <c r="A15" s="12" vm="40">
        <f ca="1"/>
        <v>45355</v>
      </c>
      <c r="B15" s="12" vm="41">
        <f ca="1"/>
        <v>175.35</v>
      </c>
      <c r="C15" s="14">
        <f t="shared" ca="1" si="0"/>
        <v>-1.6103692065985886E-2</v>
      </c>
      <c r="D15" s="41"/>
      <c r="E15" s="12" vm="40">
        <f ca="1"/>
        <v>45355</v>
      </c>
      <c r="F15" s="12" vm="42">
        <f ca="1"/>
        <v>175.34</v>
      </c>
      <c r="G15" s="14">
        <f t="shared" ca="1" si="1"/>
        <v>-0.13472167390446105</v>
      </c>
      <c r="H15" s="47">
        <f>Risk_and_Portfolio_Metrics!$O$49</f>
        <v>1E-3</v>
      </c>
    </row>
    <row r="16" spans="1:15">
      <c r="A16" s="12" vm="43">
        <f ca="1"/>
        <v>45362</v>
      </c>
      <c r="B16" s="12" vm="44">
        <f ca="1"/>
        <v>174.42</v>
      </c>
      <c r="C16" s="14">
        <f t="shared" ca="1" si="0"/>
        <v>-5.303678357570612E-3</v>
      </c>
      <c r="D16" s="41"/>
      <c r="E16" s="12" vm="43">
        <f ca="1"/>
        <v>45362</v>
      </c>
      <c r="F16" s="12" vm="45">
        <f ca="1"/>
        <v>163.57</v>
      </c>
      <c r="G16" s="14">
        <f t="shared" ca="1" si="1"/>
        <v>-6.7126725219573455E-2</v>
      </c>
      <c r="H16" s="47">
        <f>Risk_and_Portfolio_Metrics!$O$49</f>
        <v>1E-3</v>
      </c>
      <c r="I16" s="58" t="s">
        <v>35</v>
      </c>
      <c r="J16" s="58"/>
      <c r="K16" s="58"/>
      <c r="M16" s="59" t="s">
        <v>36</v>
      </c>
      <c r="N16" s="59"/>
      <c r="O16" s="59"/>
    </row>
    <row r="17" spans="1:15">
      <c r="A17" s="12" vm="46">
        <f ca="1"/>
        <v>45369</v>
      </c>
      <c r="B17" s="12" vm="47">
        <f ca="1"/>
        <v>178.87</v>
      </c>
      <c r="C17" s="14">
        <f t="shared" ca="1" si="0"/>
        <v>2.5513129228299607E-2</v>
      </c>
      <c r="D17" s="41"/>
      <c r="E17" s="12" vm="46">
        <f ca="1"/>
        <v>45369</v>
      </c>
      <c r="F17" s="12" vm="48">
        <f ca="1"/>
        <v>170.83</v>
      </c>
      <c r="G17" s="14">
        <f t="shared" ca="1" si="1"/>
        <v>4.4384667114996758E-2</v>
      </c>
      <c r="H17" s="47">
        <f>Risk_and_Portfolio_Metrics!$O$49</f>
        <v>1E-3</v>
      </c>
      <c r="I17" s="12" t="s">
        <v>37</v>
      </c>
      <c r="J17" s="12" t="s">
        <v>38</v>
      </c>
      <c r="K17" s="12" t="s">
        <v>39</v>
      </c>
      <c r="M17" s="12" t="s">
        <v>37</v>
      </c>
      <c r="N17" s="12" t="s">
        <v>38</v>
      </c>
      <c r="O17" s="12" t="s">
        <v>39</v>
      </c>
    </row>
    <row r="18" spans="1:15">
      <c r="A18" s="12" vm="49">
        <f ca="1"/>
        <v>45376</v>
      </c>
      <c r="B18" s="12" vm="50">
        <f ca="1"/>
        <v>180.38</v>
      </c>
      <c r="C18" s="14">
        <f t="shared" ca="1" si="0"/>
        <v>8.4418851679990536E-3</v>
      </c>
      <c r="D18" s="41"/>
      <c r="E18" s="12" vm="49">
        <f ca="1"/>
        <v>45376</v>
      </c>
      <c r="F18" s="12" vm="51">
        <f ca="1"/>
        <v>175.79</v>
      </c>
      <c r="G18" s="14">
        <f t="shared" ca="1" si="1"/>
        <v>2.9034712872446168E-2</v>
      </c>
      <c r="H18" s="47">
        <f>Risk_and_Portfolio_Metrics!$O$49</f>
        <v>1E-3</v>
      </c>
      <c r="I18" s="14">
        <f ca="1">ROUND((MIN($C$3:$C$152)),3)</f>
        <v>-1</v>
      </c>
      <c r="J18" s="12" cm="1">
        <f t="array" aca="1" ref="J18:J29" ca="1">FREQUENCY(C3:C152,I18:I28)</f>
        <v>1</v>
      </c>
      <c r="K18" s="12">
        <f ca="1">J18/SUM($J$18:$J$28)</f>
        <v>6.7114093959731542E-3</v>
      </c>
      <c r="L18" s="11"/>
      <c r="M18" s="14">
        <f ca="1">ROUND((MIN($G$3:$G$152)),3)</f>
        <v>-1</v>
      </c>
      <c r="N18" s="12" cm="1">
        <f t="array" aca="1" ref="N18:N29" ca="1">FREQUENCY(G3:G152,M18:M28)</f>
        <v>1</v>
      </c>
      <c r="O18" s="12">
        <f ca="1">N18/SUM($N$18:$N$28)</f>
        <v>6.7114093959731542E-3</v>
      </c>
    </row>
    <row r="19" spans="1:15">
      <c r="A19" s="12" vm="52">
        <f ca="1"/>
        <v>45383</v>
      </c>
      <c r="B19" s="12" vm="53">
        <f ca="1"/>
        <v>185.07</v>
      </c>
      <c r="C19" s="14">
        <f t="shared" ca="1" si="0"/>
        <v>2.6000665262224183E-2</v>
      </c>
      <c r="D19" s="41"/>
      <c r="E19" s="12" vm="52">
        <f ca="1"/>
        <v>45383</v>
      </c>
      <c r="F19" s="12" vm="54">
        <f ca="1"/>
        <v>164.9</v>
      </c>
      <c r="G19" s="14">
        <f t="shared" ca="1" si="1"/>
        <v>-6.1948916320609747E-2</v>
      </c>
      <c r="H19" s="47">
        <f>Risk_and_Portfolio_Metrics!$O$49</f>
        <v>1E-3</v>
      </c>
      <c r="I19" s="14">
        <f ca="1">I18+ROUND((MAX($C$3:$C$152)-MIN($C$3:$C$152))/10,3)</f>
        <v>-0.88300000000000001</v>
      </c>
      <c r="J19" s="12">
        <f ca="1"/>
        <v>0</v>
      </c>
      <c r="K19" s="12">
        <f ca="1">J19/SUM($J$18:$J$28)</f>
        <v>0</v>
      </c>
      <c r="L19" s="11"/>
      <c r="M19" s="14">
        <f ca="1">M18+ROUND((MAX($G$3:$G$152)-MIN($G$3:$G$152))/10,3)</f>
        <v>-0.871</v>
      </c>
      <c r="N19" s="12">
        <f ca="1"/>
        <v>0</v>
      </c>
      <c r="O19" s="12">
        <f t="shared" ref="O19:O28" ca="1" si="2">N19/SUM($N$18:$N$28)</f>
        <v>0</v>
      </c>
    </row>
    <row r="20" spans="1:15">
      <c r="A20" s="12" vm="55">
        <f ca="1"/>
        <v>45390</v>
      </c>
      <c r="B20" s="12" vm="56">
        <f ca="1"/>
        <v>186.13</v>
      </c>
      <c r="C20" s="14">
        <f t="shared" ca="1" si="0"/>
        <v>5.7275625439023202E-3</v>
      </c>
      <c r="D20" s="41"/>
      <c r="E20" s="12" vm="55">
        <f ca="1"/>
        <v>45390</v>
      </c>
      <c r="F20" s="12" vm="57">
        <f ca="1"/>
        <v>171.05</v>
      </c>
      <c r="G20" s="14">
        <f t="shared" ca="1" si="1"/>
        <v>3.7295330503335389E-2</v>
      </c>
      <c r="H20" s="47">
        <f>Risk_and_Portfolio_Metrics!$O$49</f>
        <v>1E-3</v>
      </c>
      <c r="I20" s="14">
        <f t="shared" ref="I20:I28" ca="1" si="3">I19+ROUND((MAX($C$3:$C$152)-MIN($C$3:$C$152))/10,3)</f>
        <v>-0.76600000000000001</v>
      </c>
      <c r="J20" s="12">
        <f ca="1"/>
        <v>0</v>
      </c>
      <c r="K20" s="12">
        <f t="shared" ref="K20:K29" ca="1" si="4">J20/SUM($J$18:$J$28)</f>
        <v>0</v>
      </c>
      <c r="L20" s="11"/>
      <c r="M20" s="14">
        <f t="shared" ref="M20:M28" ca="1" si="5">M19+ROUND((MAX($G$3:$G$152)-MIN($G$3:$G$152))/10,3)</f>
        <v>-0.74199999999999999</v>
      </c>
      <c r="N20" s="12">
        <f ca="1"/>
        <v>0</v>
      </c>
      <c r="O20" s="12">
        <f t="shared" ca="1" si="2"/>
        <v>0</v>
      </c>
    </row>
    <row r="21" spans="1:15">
      <c r="A21" s="12" vm="58">
        <f ca="1"/>
        <v>45397</v>
      </c>
      <c r="B21" s="12" vm="59">
        <f ca="1"/>
        <v>174.63</v>
      </c>
      <c r="C21" s="14">
        <f t="shared" ca="1" si="0"/>
        <v>-6.1784774082630424E-2</v>
      </c>
      <c r="D21" s="41"/>
      <c r="E21" s="12" vm="58">
        <f ca="1"/>
        <v>45397</v>
      </c>
      <c r="F21" s="12" vm="60">
        <f ca="1"/>
        <v>147.05000000000001</v>
      </c>
      <c r="G21" s="14">
        <f t="shared" ca="1" si="1"/>
        <v>-0.14030985092078338</v>
      </c>
      <c r="H21" s="47">
        <f>Risk_and_Portfolio_Metrics!$O$49</f>
        <v>1E-3</v>
      </c>
      <c r="I21" s="14">
        <f t="shared" ca="1" si="3"/>
        <v>-0.64900000000000002</v>
      </c>
      <c r="J21" s="12">
        <f ca="1"/>
        <v>0</v>
      </c>
      <c r="K21" s="12">
        <f t="shared" ca="1" si="4"/>
        <v>0</v>
      </c>
      <c r="L21" s="11"/>
      <c r="M21" s="14">
        <f t="shared" ca="1" si="5"/>
        <v>-0.61299999999999999</v>
      </c>
      <c r="N21" s="12">
        <f ca="1"/>
        <v>0</v>
      </c>
      <c r="O21" s="12">
        <f t="shared" ca="1" si="2"/>
        <v>0</v>
      </c>
    </row>
    <row r="22" spans="1:15">
      <c r="A22" s="12" vm="61">
        <f ca="1"/>
        <v>45404</v>
      </c>
      <c r="B22" s="12" vm="62">
        <f ca="1"/>
        <v>179.62</v>
      </c>
      <c r="C22" s="14">
        <f t="shared" ca="1" si="0"/>
        <v>2.8574700795968671E-2</v>
      </c>
      <c r="D22" s="41"/>
      <c r="E22" s="12" vm="61">
        <f ca="1"/>
        <v>45404</v>
      </c>
      <c r="F22" s="12" vm="63">
        <f ca="1"/>
        <v>168.29</v>
      </c>
      <c r="G22" s="14">
        <f t="shared" ca="1" si="1"/>
        <v>0.14444066643998626</v>
      </c>
      <c r="H22" s="47">
        <f>Risk_and_Portfolio_Metrics!$O$49</f>
        <v>1E-3</v>
      </c>
      <c r="I22" s="14">
        <f t="shared" ca="1" si="3"/>
        <v>-0.53200000000000003</v>
      </c>
      <c r="J22" s="12">
        <f ca="1"/>
        <v>0</v>
      </c>
      <c r="K22" s="12">
        <f t="shared" ca="1" si="4"/>
        <v>0</v>
      </c>
      <c r="L22" s="11"/>
      <c r="M22" s="14">
        <f t="shared" ca="1" si="5"/>
        <v>-0.48399999999999999</v>
      </c>
      <c r="N22" s="12">
        <f ca="1"/>
        <v>0</v>
      </c>
      <c r="O22" s="12">
        <f t="shared" ca="1" si="2"/>
        <v>0</v>
      </c>
    </row>
    <row r="23" spans="1:15">
      <c r="A23" s="12" vm="64">
        <f ca="1"/>
        <v>45411</v>
      </c>
      <c r="B23" s="12" vm="65">
        <f ca="1"/>
        <v>186.21</v>
      </c>
      <c r="C23" s="14">
        <f t="shared" ca="1" si="0"/>
        <v>3.6688564747800932E-2</v>
      </c>
      <c r="D23" s="41"/>
      <c r="E23" s="12" vm="64">
        <f ca="1"/>
        <v>45411</v>
      </c>
      <c r="F23" s="12" vm="66">
        <f ca="1"/>
        <v>181.19</v>
      </c>
      <c r="G23" s="14">
        <f t="shared" ca="1" si="1"/>
        <v>7.6653395923703169E-2</v>
      </c>
      <c r="H23" s="47">
        <f>Risk_and_Portfolio_Metrics!$O$49</f>
        <v>1E-3</v>
      </c>
      <c r="I23" s="14">
        <f t="shared" ca="1" si="3"/>
        <v>-0.41500000000000004</v>
      </c>
      <c r="J23" s="12">
        <f ca="1"/>
        <v>0</v>
      </c>
      <c r="K23" s="12">
        <f t="shared" ca="1" si="4"/>
        <v>0</v>
      </c>
      <c r="L23" s="11"/>
      <c r="M23" s="14">
        <f t="shared" ca="1" si="5"/>
        <v>-0.35499999999999998</v>
      </c>
      <c r="N23" s="12">
        <f ca="1"/>
        <v>0</v>
      </c>
      <c r="O23" s="12">
        <f t="shared" ca="1" si="2"/>
        <v>0</v>
      </c>
    </row>
    <row r="24" spans="1:15">
      <c r="A24" s="12" vm="67">
        <f ca="1"/>
        <v>45418</v>
      </c>
      <c r="B24" s="12" vm="68">
        <f ca="1"/>
        <v>187.48</v>
      </c>
      <c r="C24" s="14">
        <f t="shared" ca="1" si="0"/>
        <v>6.8202566994252818E-3</v>
      </c>
      <c r="D24" s="41"/>
      <c r="E24" s="12" vm="67">
        <f ca="1"/>
        <v>45418</v>
      </c>
      <c r="F24" s="12" vm="69">
        <f ca="1"/>
        <v>168.47</v>
      </c>
      <c r="G24" s="14">
        <f t="shared" ca="1" si="1"/>
        <v>-7.0202549809592132E-2</v>
      </c>
      <c r="H24" s="47">
        <f>Risk_and_Portfolio_Metrics!$O$49</f>
        <v>1E-3</v>
      </c>
      <c r="I24" s="14">
        <f t="shared" ca="1" si="3"/>
        <v>-0.29800000000000004</v>
      </c>
      <c r="J24" s="12">
        <f ca="1"/>
        <v>0</v>
      </c>
      <c r="K24" s="12">
        <f t="shared" ca="1" si="4"/>
        <v>0</v>
      </c>
      <c r="L24" s="11"/>
      <c r="M24" s="14">
        <f t="shared" ca="1" si="5"/>
        <v>-0.22599999999999998</v>
      </c>
      <c r="N24" s="12">
        <f ca="1"/>
        <v>0</v>
      </c>
      <c r="O24" s="12">
        <f t="shared" ca="1" si="2"/>
        <v>0</v>
      </c>
    </row>
    <row r="25" spans="1:15">
      <c r="A25" s="12" vm="70">
        <f ca="1"/>
        <v>45425</v>
      </c>
      <c r="B25" s="12" vm="71">
        <f ca="1"/>
        <v>184.7</v>
      </c>
      <c r="C25" s="14">
        <f t="shared" ca="1" si="0"/>
        <v>-1.4828248346490299E-2</v>
      </c>
      <c r="D25" s="41"/>
      <c r="E25" s="12" vm="70">
        <f ca="1"/>
        <v>45425</v>
      </c>
      <c r="F25" s="12" vm="72">
        <f ca="1"/>
        <v>177.46</v>
      </c>
      <c r="G25" s="14">
        <f t="shared" ca="1" si="1"/>
        <v>5.3362616489582772E-2</v>
      </c>
      <c r="H25" s="47">
        <f>Risk_and_Portfolio_Metrics!$O$49</f>
        <v>1E-3</v>
      </c>
      <c r="I25" s="14">
        <f t="shared" ca="1" si="3"/>
        <v>-0.18100000000000005</v>
      </c>
      <c r="J25" s="12">
        <f ca="1"/>
        <v>0</v>
      </c>
      <c r="K25" s="12">
        <f t="shared" ca="1" si="4"/>
        <v>0</v>
      </c>
      <c r="L25" s="11"/>
      <c r="M25" s="14">
        <f t="shared" ca="1" si="5"/>
        <v>-9.6999999999999975E-2</v>
      </c>
      <c r="N25" s="12">
        <f ca="1"/>
        <v>10</v>
      </c>
      <c r="O25" s="12">
        <f t="shared" ca="1" si="2"/>
        <v>6.7114093959731544E-2</v>
      </c>
    </row>
    <row r="26" spans="1:15">
      <c r="A26" s="12" vm="73">
        <f ca="1"/>
        <v>45432</v>
      </c>
      <c r="B26" s="12" vm="74">
        <f ca="1"/>
        <v>180.75</v>
      </c>
      <c r="C26" s="14">
        <f t="shared" ca="1" si="0"/>
        <v>-2.1386031402273898E-2</v>
      </c>
      <c r="D26" s="41"/>
      <c r="E26" s="12" vm="73">
        <f ca="1"/>
        <v>45432</v>
      </c>
      <c r="F26" s="12" vm="75">
        <f ca="1"/>
        <v>179.24</v>
      </c>
      <c r="G26" s="14">
        <f t="shared" ca="1" si="1"/>
        <v>1.003042939253917E-2</v>
      </c>
      <c r="H26" s="47">
        <f>Risk_and_Portfolio_Metrics!$O$49</f>
        <v>1E-3</v>
      </c>
      <c r="I26" s="14">
        <f t="shared" ca="1" si="3"/>
        <v>-6.4000000000000043E-2</v>
      </c>
      <c r="J26" s="12">
        <f ca="1"/>
        <v>6</v>
      </c>
      <c r="K26" s="12">
        <f t="shared" ca="1" si="4"/>
        <v>4.0268456375838924E-2</v>
      </c>
      <c r="L26" s="11"/>
      <c r="M26" s="14">
        <f t="shared" ca="1" si="5"/>
        <v>3.2000000000000028E-2</v>
      </c>
      <c r="N26" s="12">
        <f ca="1"/>
        <v>91</v>
      </c>
      <c r="O26" s="12">
        <f t="shared" ca="1" si="2"/>
        <v>0.61073825503355705</v>
      </c>
    </row>
    <row r="27" spans="1:15">
      <c r="A27" s="12" vm="76">
        <f ca="1"/>
        <v>45440</v>
      </c>
      <c r="B27" s="12" vm="77">
        <f ca="1"/>
        <v>176.44</v>
      </c>
      <c r="C27" s="14">
        <f t="shared" ca="1" si="0"/>
        <v>-2.3845089903181203E-2</v>
      </c>
      <c r="D27" s="41"/>
      <c r="E27" s="12" vm="76">
        <f ca="1"/>
        <v>45440</v>
      </c>
      <c r="F27" s="12" vm="78">
        <f ca="1"/>
        <v>178.08</v>
      </c>
      <c r="G27" s="14">
        <f t="shared" ca="1" si="1"/>
        <v>-6.4717696942646541E-3</v>
      </c>
      <c r="H27" s="47">
        <f>Risk_and_Portfolio_Metrics!$O$49</f>
        <v>1E-3</v>
      </c>
      <c r="I27" s="14">
        <f t="shared" ca="1" si="3"/>
        <v>5.2999999999999964E-2</v>
      </c>
      <c r="J27" s="12">
        <f ca="1"/>
        <v>125</v>
      </c>
      <c r="K27" s="12">
        <f t="shared" ca="1" si="4"/>
        <v>0.83892617449664431</v>
      </c>
      <c r="L27" s="11"/>
      <c r="M27" s="14">
        <f t="shared" ca="1" si="5"/>
        <v>0.16100000000000003</v>
      </c>
      <c r="N27" s="12">
        <f ca="1"/>
        <v>43</v>
      </c>
      <c r="O27" s="12">
        <f t="shared" ca="1" si="2"/>
        <v>0.28859060402684567</v>
      </c>
    </row>
    <row r="28" spans="1:15">
      <c r="A28" s="12" vm="79">
        <f ca="1"/>
        <v>45446</v>
      </c>
      <c r="B28" s="12" vm="80">
        <f ca="1"/>
        <v>184.3</v>
      </c>
      <c r="C28" s="14">
        <f t="shared" ca="1" si="0"/>
        <v>4.4547721605078291E-2</v>
      </c>
      <c r="D28" s="41"/>
      <c r="E28" s="12" vm="79">
        <f ca="1"/>
        <v>45446</v>
      </c>
      <c r="F28" s="12" vm="81">
        <f ca="1"/>
        <v>177.48</v>
      </c>
      <c r="G28" s="14">
        <f t="shared" ca="1" si="1"/>
        <v>-3.3692722371968927E-3</v>
      </c>
      <c r="H28" s="47">
        <f>Risk_and_Portfolio_Metrics!$O$49</f>
        <v>1E-3</v>
      </c>
      <c r="I28" s="14">
        <f t="shared" ca="1" si="3"/>
        <v>0.16999999999999998</v>
      </c>
      <c r="J28" s="12">
        <f ca="1"/>
        <v>17</v>
      </c>
      <c r="K28" s="12">
        <f t="shared" ca="1" si="4"/>
        <v>0.11409395973154363</v>
      </c>
      <c r="L28" s="11"/>
      <c r="M28" s="14">
        <f t="shared" ca="1" si="5"/>
        <v>0.29000000000000004</v>
      </c>
      <c r="N28" s="12">
        <f ca="1"/>
        <v>4</v>
      </c>
      <c r="O28" s="12">
        <f t="shared" ca="1" si="2"/>
        <v>2.6845637583892617E-2</v>
      </c>
    </row>
    <row r="29" spans="1:15">
      <c r="A29" s="12" vm="82">
        <f ca="1"/>
        <v>45453</v>
      </c>
      <c r="B29" s="12" vm="83">
        <f ca="1"/>
        <v>183.66</v>
      </c>
      <c r="C29" s="14">
        <f t="shared" ca="1" si="0"/>
        <v>-3.4725990233316047E-3</v>
      </c>
      <c r="D29" s="41"/>
      <c r="E29" s="12" vm="82">
        <f ca="1"/>
        <v>45453</v>
      </c>
      <c r="F29" s="12" vm="84">
        <f ca="1"/>
        <v>178.01</v>
      </c>
      <c r="G29" s="14">
        <f t="shared" ca="1" si="1"/>
        <v>2.9862519720531958E-3</v>
      </c>
      <c r="H29" s="47">
        <f>Risk_and_Portfolio_Metrics!$O$49</f>
        <v>1E-3</v>
      </c>
      <c r="I29" s="12"/>
      <c r="J29" s="12">
        <f ca="1"/>
        <v>1</v>
      </c>
      <c r="K29" s="12">
        <f t="shared" ca="1" si="4"/>
        <v>6.7114093959731542E-3</v>
      </c>
      <c r="L29" s="11"/>
      <c r="M29" s="12"/>
      <c r="N29" s="12">
        <f ca="1"/>
        <v>1</v>
      </c>
      <c r="O29" s="12"/>
    </row>
    <row r="30" spans="1:15">
      <c r="A30" s="12" vm="85">
        <f ca="1"/>
        <v>45460</v>
      </c>
      <c r="B30" s="12" vm="86">
        <f ca="1"/>
        <v>189.08</v>
      </c>
      <c r="C30" s="14">
        <f t="shared" ca="1" si="0"/>
        <v>2.9511053032778047E-2</v>
      </c>
      <c r="D30" s="41"/>
      <c r="E30" s="12" vm="85">
        <f ca="1"/>
        <v>45460</v>
      </c>
      <c r="F30" s="12" vm="87">
        <f ca="1"/>
        <v>183.01</v>
      </c>
      <c r="G30" s="14">
        <f t="shared" ca="1" si="1"/>
        <v>2.8088309645525535E-2</v>
      </c>
      <c r="H30" s="47">
        <f>Risk_and_Portfolio_Metrics!$O$49</f>
        <v>1E-3</v>
      </c>
    </row>
    <row r="31" spans="1:15">
      <c r="A31" s="12" vm="88">
        <f ca="1"/>
        <v>45467</v>
      </c>
      <c r="B31" s="12" vm="89">
        <f ca="1"/>
        <v>193.25</v>
      </c>
      <c r="C31" s="14">
        <f t="shared" ca="1" si="0"/>
        <v>2.2054156970594391E-2</v>
      </c>
      <c r="D31" s="41"/>
      <c r="E31" s="12" vm="88">
        <f ca="1"/>
        <v>45467</v>
      </c>
      <c r="F31" s="12" vm="90">
        <f ca="1"/>
        <v>197.88</v>
      </c>
      <c r="G31" s="14">
        <f t="shared" ca="1" si="1"/>
        <v>8.125239057974977E-2</v>
      </c>
      <c r="H31" s="47">
        <f>Risk_and_Portfolio_Metrics!$O$49</f>
        <v>1E-3</v>
      </c>
    </row>
    <row r="32" spans="1:15">
      <c r="A32" s="12" vm="91">
        <f ca="1"/>
        <v>45474</v>
      </c>
      <c r="B32" s="12" vm="92">
        <f ca="1"/>
        <v>200</v>
      </c>
      <c r="C32" s="14">
        <f t="shared" ca="1" si="0"/>
        <v>3.4928848641655887E-2</v>
      </c>
      <c r="D32" s="41"/>
      <c r="E32" s="12" vm="91">
        <f ca="1"/>
        <v>45474</v>
      </c>
      <c r="F32" s="12" vm="93">
        <f ca="1"/>
        <v>251.52</v>
      </c>
      <c r="G32" s="14">
        <f t="shared" ca="1" si="1"/>
        <v>0.27107337780473023</v>
      </c>
      <c r="H32" s="47">
        <f>Risk_and_Portfolio_Metrics!$O$49</f>
        <v>1E-3</v>
      </c>
    </row>
    <row r="33" spans="1:9">
      <c r="A33" s="12" vm="94">
        <f ca="1"/>
        <v>45481</v>
      </c>
      <c r="B33" s="12" vm="95">
        <f ca="1"/>
        <v>194.49</v>
      </c>
      <c r="C33" s="14">
        <f t="shared" ca="1" si="0"/>
        <v>-2.7549999999999953E-2</v>
      </c>
      <c r="D33" s="41"/>
      <c r="E33" s="12" vm="94">
        <f ca="1"/>
        <v>45481</v>
      </c>
      <c r="F33" s="12" vm="96">
        <f ca="1"/>
        <v>248.23</v>
      </c>
      <c r="G33" s="14">
        <f t="shared" ca="1" si="1"/>
        <v>-1.3080470737913567E-2</v>
      </c>
      <c r="H33" s="47">
        <f>Risk_and_Portfolio_Metrics!$O$49</f>
        <v>1E-3</v>
      </c>
    </row>
    <row r="34" spans="1:9">
      <c r="A34" s="12" vm="97">
        <f ca="1"/>
        <v>45488</v>
      </c>
      <c r="B34" s="12" vm="98">
        <f ca="1"/>
        <v>183.13</v>
      </c>
      <c r="C34" s="14">
        <f t="shared" ca="1" si="0"/>
        <v>-5.8409172708108456E-2</v>
      </c>
      <c r="D34" s="41"/>
      <c r="E34" s="12" vm="97">
        <f ca="1"/>
        <v>45488</v>
      </c>
      <c r="F34" s="12" vm="99">
        <f ca="1"/>
        <v>239.2</v>
      </c>
      <c r="G34" s="14">
        <f t="shared" ca="1" si="1"/>
        <v>-3.6377553075776503E-2</v>
      </c>
      <c r="H34" s="47">
        <f>Risk_and_Portfolio_Metrics!$O$49</f>
        <v>1E-3</v>
      </c>
      <c r="I34" s="11"/>
    </row>
    <row r="35" spans="1:9">
      <c r="A35" s="12" vm="100">
        <f ca="1"/>
        <v>45495</v>
      </c>
      <c r="B35" s="12" vm="101">
        <f ca="1"/>
        <v>182.5</v>
      </c>
      <c r="C35" s="14">
        <f t="shared" ca="1" si="0"/>
        <v>-3.440179107737648E-3</v>
      </c>
      <c r="D35" s="41"/>
      <c r="E35" s="12" vm="100">
        <f ca="1"/>
        <v>45495</v>
      </c>
      <c r="F35" s="12" vm="102">
        <f ca="1"/>
        <v>219.8</v>
      </c>
      <c r="G35" s="14">
        <f t="shared" ca="1" si="1"/>
        <v>-8.1103678929765791E-2</v>
      </c>
      <c r="H35" s="47">
        <f>Risk_and_Portfolio_Metrics!$O$49</f>
        <v>1E-3</v>
      </c>
      <c r="I35" s="11"/>
    </row>
    <row r="36" spans="1:9">
      <c r="A36" s="12" vm="103">
        <f ca="1"/>
        <v>45502</v>
      </c>
      <c r="B36" s="12" vm="104">
        <f ca="1"/>
        <v>167.9</v>
      </c>
      <c r="C36" s="14">
        <f t="shared" ca="1" si="0"/>
        <v>-7.9999999999999974E-2</v>
      </c>
      <c r="D36" s="41"/>
      <c r="E36" s="12" vm="103">
        <f ca="1"/>
        <v>45502</v>
      </c>
      <c r="F36" s="12" vm="105">
        <f ca="1"/>
        <v>207.67</v>
      </c>
      <c r="G36" s="14">
        <f t="shared" ca="1" si="1"/>
        <v>-5.5186533212011023E-2</v>
      </c>
      <c r="H36" s="47">
        <f>Risk_and_Portfolio_Metrics!$O$49</f>
        <v>1E-3</v>
      </c>
      <c r="I36" s="11"/>
    </row>
    <row r="37" spans="1:9">
      <c r="A37" s="12" vm="106">
        <f ca="1"/>
        <v>45509</v>
      </c>
      <c r="B37" s="12" vm="107">
        <f ca="1"/>
        <v>166.94</v>
      </c>
      <c r="C37" s="14">
        <f t="shared" ca="1" si="0"/>
        <v>-5.7176891006551992E-3</v>
      </c>
      <c r="D37" s="41"/>
      <c r="E37" s="12" vm="106">
        <f ca="1"/>
        <v>45509</v>
      </c>
      <c r="F37" s="12" vm="92">
        <f ca="1"/>
        <v>200</v>
      </c>
      <c r="G37" s="14">
        <f t="shared" ca="1" si="1"/>
        <v>-3.6933596571483547E-2</v>
      </c>
      <c r="H37" s="47">
        <f>Risk_and_Portfolio_Metrics!$O$49</f>
        <v>1E-3</v>
      </c>
      <c r="I37" s="11"/>
    </row>
    <row r="38" spans="1:9">
      <c r="A38" s="12" vm="108">
        <f ca="1"/>
        <v>45516</v>
      </c>
      <c r="B38" s="12" vm="109">
        <f ca="1"/>
        <v>177.06</v>
      </c>
      <c r="C38" s="14">
        <f t="shared" ca="1" si="0"/>
        <v>6.0620582245118036E-2</v>
      </c>
      <c r="D38" s="41"/>
      <c r="E38" s="12" vm="108">
        <f ca="1"/>
        <v>45516</v>
      </c>
      <c r="F38" s="12" vm="110">
        <f ca="1"/>
        <v>216.12</v>
      </c>
      <c r="G38" s="14">
        <f t="shared" ca="1" si="1"/>
        <v>8.0600000000000019E-2</v>
      </c>
      <c r="H38" s="47">
        <f>Risk_and_Portfolio_Metrics!$O$49</f>
        <v>1E-3</v>
      </c>
      <c r="I38" s="11"/>
    </row>
    <row r="39" spans="1:9">
      <c r="A39" s="12" vm="111">
        <f ca="1"/>
        <v>45523</v>
      </c>
      <c r="B39" s="12" vm="112">
        <f ca="1"/>
        <v>177.04</v>
      </c>
      <c r="C39" s="14">
        <f t="shared" ca="1" si="0"/>
        <v>-1.1295606009268176E-4</v>
      </c>
      <c r="D39" s="41"/>
      <c r="E39" s="12" vm="111">
        <f ca="1"/>
        <v>45523</v>
      </c>
      <c r="F39" s="12" vm="113">
        <f ca="1"/>
        <v>220.32</v>
      </c>
      <c r="G39" s="14">
        <f t="shared" ca="1" si="1"/>
        <v>1.9433647973348088E-2</v>
      </c>
      <c r="H39" s="47">
        <f>Risk_and_Portfolio_Metrics!$O$49</f>
        <v>1E-3</v>
      </c>
      <c r="I39" s="11"/>
    </row>
    <row r="40" spans="1:9">
      <c r="A40" s="12" vm="114">
        <f ca="1"/>
        <v>45530</v>
      </c>
      <c r="B40" s="12" vm="115">
        <f ca="1"/>
        <v>178.5</v>
      </c>
      <c r="C40" s="14">
        <f t="shared" ca="1" si="0"/>
        <v>8.2467239042024847E-3</v>
      </c>
      <c r="D40" s="41"/>
      <c r="E40" s="12" vm="114">
        <f ca="1"/>
        <v>45530</v>
      </c>
      <c r="F40" s="12" vm="116">
        <f ca="1"/>
        <v>214.11</v>
      </c>
      <c r="G40" s="14">
        <f t="shared" ca="1" si="1"/>
        <v>-2.8186274509803828E-2</v>
      </c>
      <c r="H40" s="47">
        <f>Risk_and_Portfolio_Metrics!$O$49</f>
        <v>1E-3</v>
      </c>
      <c r="I40" s="11"/>
    </row>
    <row r="41" spans="1:9">
      <c r="A41" s="12" vm="117">
        <f ca="1"/>
        <v>45538</v>
      </c>
      <c r="B41" s="12" vm="118">
        <f ca="1"/>
        <v>171.39</v>
      </c>
      <c r="C41" s="14">
        <f t="shared" ca="1" si="0"/>
        <v>-3.983193277310932E-2</v>
      </c>
      <c r="D41" s="41"/>
      <c r="E41" s="12" vm="117">
        <f ca="1"/>
        <v>45538</v>
      </c>
      <c r="F41" s="12" vm="119">
        <f ca="1"/>
        <v>210.73</v>
      </c>
      <c r="G41" s="14">
        <f t="shared" ca="1" si="1"/>
        <v>-1.5786278081360159E-2</v>
      </c>
      <c r="H41" s="47">
        <f>Risk_and_Portfolio_Metrics!$O$49</f>
        <v>1E-3</v>
      </c>
      <c r="I41" s="11"/>
    </row>
    <row r="42" spans="1:9">
      <c r="A42" s="12" vm="120">
        <f ca="1"/>
        <v>45544</v>
      </c>
      <c r="B42" s="12" vm="121">
        <f ca="1"/>
        <v>186.49</v>
      </c>
      <c r="C42" s="14">
        <f t="shared" ca="1" si="0"/>
        <v>8.8103156543555772E-2</v>
      </c>
      <c r="D42" s="41"/>
      <c r="E42" s="12" vm="120">
        <f ca="1"/>
        <v>45544</v>
      </c>
      <c r="F42" s="12" vm="122">
        <f ca="1"/>
        <v>230.29</v>
      </c>
      <c r="G42" s="14">
        <f t="shared" ca="1" si="1"/>
        <v>9.2820196459925036E-2</v>
      </c>
      <c r="H42" s="47">
        <f>Risk_and_Portfolio_Metrics!$O$49</f>
        <v>1E-3</v>
      </c>
      <c r="I42" s="11"/>
    </row>
    <row r="43" spans="1:9">
      <c r="A43" s="12" vm="123">
        <f ca="1"/>
        <v>45551</v>
      </c>
      <c r="B43" s="12" vm="124">
        <f ca="1"/>
        <v>191.6</v>
      </c>
      <c r="C43" s="14">
        <f t="shared" ca="1" si="0"/>
        <v>2.7400933025899431E-2</v>
      </c>
      <c r="D43" s="41"/>
      <c r="E43" s="12" vm="123">
        <f ca="1"/>
        <v>45551</v>
      </c>
      <c r="F43" s="12" vm="125">
        <f ca="1"/>
        <v>238.25</v>
      </c>
      <c r="G43" s="14">
        <f t="shared" ca="1" si="1"/>
        <v>3.456511355247735E-2</v>
      </c>
      <c r="H43" s="47">
        <f>Risk_and_Portfolio_Metrics!$O$49</f>
        <v>1E-3</v>
      </c>
      <c r="I43" s="11"/>
    </row>
    <row r="44" spans="1:9">
      <c r="A44" s="12" vm="126">
        <f ca="1"/>
        <v>45558</v>
      </c>
      <c r="B44" s="12" vm="127">
        <f ca="1"/>
        <v>187.97</v>
      </c>
      <c r="C44" s="14">
        <f t="shared" ca="1" si="0"/>
        <v>-1.8945720250521898E-2</v>
      </c>
      <c r="D44" s="41"/>
      <c r="E44" s="12" vm="126">
        <f ca="1"/>
        <v>45558</v>
      </c>
      <c r="F44" s="12" vm="128">
        <f ca="1"/>
        <v>260.45999999999998</v>
      </c>
      <c r="G44" s="14">
        <f t="shared" ca="1" si="1"/>
        <v>9.3221406086043984E-2</v>
      </c>
      <c r="H44" s="47">
        <f>Risk_and_Portfolio_Metrics!$O$49</f>
        <v>1E-3</v>
      </c>
      <c r="I44" s="11"/>
    </row>
    <row r="45" spans="1:9">
      <c r="A45" s="12" vm="129">
        <f ca="1"/>
        <v>45565</v>
      </c>
      <c r="B45" s="12" vm="130">
        <f ca="1"/>
        <v>186.51</v>
      </c>
      <c r="C45" s="14">
        <f t="shared" ca="1" si="0"/>
        <v>-7.7671968931212849E-3</v>
      </c>
      <c r="D45" s="41"/>
      <c r="E45" s="12" vm="129">
        <f ca="1"/>
        <v>45565</v>
      </c>
      <c r="F45" s="12" vm="131">
        <f ca="1"/>
        <v>250.08</v>
      </c>
      <c r="G45" s="14">
        <f t="shared" ca="1" si="1"/>
        <v>-3.9852568532596055E-2</v>
      </c>
      <c r="H45" s="47">
        <f>Risk_and_Portfolio_Metrics!$O$49</f>
        <v>1E-3</v>
      </c>
    </row>
    <row r="46" spans="1:9">
      <c r="A46" s="12" vm="132">
        <f ca="1"/>
        <v>45572</v>
      </c>
      <c r="B46" s="12" vm="133">
        <f ca="1"/>
        <v>188.82</v>
      </c>
      <c r="C46" s="14">
        <f t="shared" ca="1" si="0"/>
        <v>1.2385394884992774E-2</v>
      </c>
      <c r="D46" s="41"/>
      <c r="E46" s="12" vm="132">
        <f ca="1"/>
        <v>45572</v>
      </c>
      <c r="F46" s="12" vm="134">
        <f ca="1"/>
        <v>217.8</v>
      </c>
      <c r="G46" s="14">
        <f t="shared" ca="1" si="1"/>
        <v>-0.12907869481765835</v>
      </c>
      <c r="H46" s="47">
        <f>Risk_and_Portfolio_Metrics!$O$49</f>
        <v>1E-3</v>
      </c>
    </row>
    <row r="47" spans="1:9">
      <c r="A47" s="12" vm="135">
        <f ca="1"/>
        <v>45579</v>
      </c>
      <c r="B47" s="12" vm="136">
        <f ca="1"/>
        <v>188.99</v>
      </c>
      <c r="C47" s="14">
        <f t="shared" ca="1" si="0"/>
        <v>9.0032835504721921E-4</v>
      </c>
      <c r="D47" s="41"/>
      <c r="E47" s="12" vm="135">
        <f ca="1"/>
        <v>45579</v>
      </c>
      <c r="F47" s="12" vm="137">
        <f ca="1"/>
        <v>220.7</v>
      </c>
      <c r="G47" s="14">
        <f t="shared" ca="1" si="1"/>
        <v>1.3314967860422302E-2</v>
      </c>
      <c r="H47" s="47">
        <f>Risk_and_Portfolio_Metrics!$O$49</f>
        <v>1E-3</v>
      </c>
    </row>
    <row r="48" spans="1:9">
      <c r="A48" s="12" vm="138">
        <f ca="1"/>
        <v>45586</v>
      </c>
      <c r="B48" s="12" vm="139">
        <f ca="1"/>
        <v>187.83</v>
      </c>
      <c r="C48" s="14">
        <f t="shared" ca="1" si="0"/>
        <v>-6.1378908936980609E-3</v>
      </c>
      <c r="D48" s="41"/>
      <c r="E48" s="12" vm="138">
        <f ca="1"/>
        <v>45586</v>
      </c>
      <c r="F48" s="12" vm="140">
        <f ca="1"/>
        <v>269.19</v>
      </c>
      <c r="G48" s="14">
        <f t="shared" ca="1" si="1"/>
        <v>0.21971001359311287</v>
      </c>
      <c r="H48" s="47">
        <f>Risk_and_Portfolio_Metrics!$O$49</f>
        <v>1E-3</v>
      </c>
    </row>
    <row r="49" spans="1:8">
      <c r="A49" s="12" vm="141">
        <f ca="1"/>
        <v>45593</v>
      </c>
      <c r="B49" s="12" vm="142">
        <f ca="1"/>
        <v>197.93</v>
      </c>
      <c r="C49" s="14">
        <f t="shared" ca="1" si="0"/>
        <v>5.3772027897566917E-2</v>
      </c>
      <c r="D49" s="41"/>
      <c r="E49" s="12" vm="141">
        <f ca="1"/>
        <v>45593</v>
      </c>
      <c r="F49" s="12" vm="143">
        <f ca="1"/>
        <v>248.98</v>
      </c>
      <c r="G49" s="14">
        <f t="shared" ca="1" si="1"/>
        <v>-7.5077083101155351E-2</v>
      </c>
      <c r="H49" s="47">
        <f>Risk_and_Portfolio_Metrics!$O$49</f>
        <v>1E-3</v>
      </c>
    </row>
    <row r="50" spans="1:8">
      <c r="A50" s="12" vm="144">
        <f ca="1"/>
        <v>45600</v>
      </c>
      <c r="B50" s="12" vm="145">
        <f ca="1"/>
        <v>208.18</v>
      </c>
      <c r="C50" s="14">
        <f t="shared" ca="1" si="0"/>
        <v>5.1785984944172178E-2</v>
      </c>
      <c r="D50" s="41"/>
      <c r="E50" s="12" vm="144">
        <f ca="1"/>
        <v>45600</v>
      </c>
      <c r="F50" s="12" vm="146">
        <f ca="1"/>
        <v>321.22000000000003</v>
      </c>
      <c r="G50" s="14">
        <f t="shared" ca="1" si="1"/>
        <v>0.29014378664953022</v>
      </c>
      <c r="H50" s="47">
        <f>Risk_and_Portfolio_Metrics!$O$49</f>
        <v>1E-3</v>
      </c>
    </row>
    <row r="51" spans="1:8">
      <c r="A51" s="12" vm="147">
        <f ca="1"/>
        <v>45607</v>
      </c>
      <c r="B51" s="12" vm="148">
        <f ca="1"/>
        <v>202.61</v>
      </c>
      <c r="C51" s="14">
        <f t="shared" ca="1" si="0"/>
        <v>-2.6755692189451404E-2</v>
      </c>
      <c r="D51" s="41"/>
      <c r="E51" s="12" vm="147">
        <f ca="1"/>
        <v>45607</v>
      </c>
      <c r="F51" s="12" vm="149">
        <f ca="1"/>
        <v>320.72000000000003</v>
      </c>
      <c r="G51" s="14">
        <f t="shared" ca="1" si="1"/>
        <v>-1.5565655936741172E-3</v>
      </c>
      <c r="H51" s="47">
        <f>Risk_and_Portfolio_Metrics!$O$49</f>
        <v>1E-3</v>
      </c>
    </row>
    <row r="52" spans="1:8">
      <c r="A52" s="12" vm="150">
        <f ca="1"/>
        <v>45614</v>
      </c>
      <c r="B52" s="12" vm="151">
        <f ca="1"/>
        <v>197.12</v>
      </c>
      <c r="C52" s="14">
        <f t="shared" ca="1" si="0"/>
        <v>-2.7096392083312812E-2</v>
      </c>
      <c r="D52" s="41"/>
      <c r="E52" s="12" vm="150">
        <f ca="1"/>
        <v>45614</v>
      </c>
      <c r="F52" s="12" vm="152">
        <f ca="1"/>
        <v>352.56</v>
      </c>
      <c r="G52" s="14">
        <f t="shared" ca="1" si="1"/>
        <v>9.9276627587927074E-2</v>
      </c>
      <c r="H52" s="47">
        <f>Risk_and_Portfolio_Metrics!$O$49</f>
        <v>1E-3</v>
      </c>
    </row>
    <row r="53" spans="1:8">
      <c r="A53" s="12" vm="153">
        <f ca="1"/>
        <v>45621</v>
      </c>
      <c r="B53" s="12" vm="154">
        <f ca="1"/>
        <v>207.89</v>
      </c>
      <c r="C53" s="14">
        <f t="shared" ca="1" si="0"/>
        <v>5.463676948051939E-2</v>
      </c>
      <c r="D53" s="41"/>
      <c r="E53" s="12" vm="153">
        <f ca="1"/>
        <v>45621</v>
      </c>
      <c r="F53" s="12" vm="155">
        <f ca="1"/>
        <v>345.16</v>
      </c>
      <c r="G53" s="14">
        <f t="shared" ca="1" si="1"/>
        <v>-2.0989335148627119E-2</v>
      </c>
      <c r="H53" s="47">
        <f>Risk_and_Portfolio_Metrics!$O$49</f>
        <v>1E-3</v>
      </c>
    </row>
    <row r="54" spans="1:8">
      <c r="A54" s="12" vm="156">
        <f ca="1"/>
        <v>45628</v>
      </c>
      <c r="B54" s="12" vm="157">
        <f ca="1"/>
        <v>227.03</v>
      </c>
      <c r="C54" s="14">
        <f t="shared" ca="1" si="0"/>
        <v>9.2067920534898345E-2</v>
      </c>
      <c r="D54" s="41"/>
      <c r="E54" s="12" vm="156">
        <f ca="1"/>
        <v>45628</v>
      </c>
      <c r="F54" s="12" vm="158">
        <f ca="1"/>
        <v>389.22</v>
      </c>
      <c r="G54" s="14">
        <f t="shared" ca="1" si="1"/>
        <v>0.12765094448951211</v>
      </c>
      <c r="H54" s="47">
        <f>Risk_and_Portfolio_Metrics!$O$49</f>
        <v>1E-3</v>
      </c>
    </row>
    <row r="55" spans="1:8">
      <c r="A55" s="12" vm="159">
        <f ca="1"/>
        <v>45635</v>
      </c>
      <c r="B55" s="12" vm="160">
        <f ca="1"/>
        <v>227.46</v>
      </c>
      <c r="C55" s="14">
        <f t="shared" ca="1" si="0"/>
        <v>1.894022816367911E-3</v>
      </c>
      <c r="D55" s="41"/>
      <c r="E55" s="12" vm="159">
        <f ca="1"/>
        <v>45635</v>
      </c>
      <c r="F55" s="12" vm="161">
        <f ca="1"/>
        <v>436.23</v>
      </c>
      <c r="G55" s="14">
        <f t="shared" ca="1" si="1"/>
        <v>0.12078002158162475</v>
      </c>
      <c r="H55" s="47">
        <f>Risk_and_Portfolio_Metrics!$O$49</f>
        <v>1E-3</v>
      </c>
    </row>
    <row r="56" spans="1:8">
      <c r="A56" s="12" vm="162">
        <f ca="1"/>
        <v>45642</v>
      </c>
      <c r="B56" s="12" vm="163">
        <f ca="1"/>
        <v>224.92</v>
      </c>
      <c r="C56" s="14">
        <f t="shared" ca="1" si="0"/>
        <v>-1.1166798557988307E-2</v>
      </c>
      <c r="D56" s="41"/>
      <c r="E56" s="12" vm="162">
        <f ca="1"/>
        <v>45642</v>
      </c>
      <c r="F56" s="12" vm="164">
        <f ca="1"/>
        <v>421.06</v>
      </c>
      <c r="G56" s="14">
        <f t="shared" ca="1" si="1"/>
        <v>-3.4775233248515725E-2</v>
      </c>
      <c r="H56" s="47">
        <f>Risk_and_Portfolio_Metrics!$O$49</f>
        <v>1E-3</v>
      </c>
    </row>
    <row r="57" spans="1:8">
      <c r="A57" s="12" vm="165">
        <f ca="1"/>
        <v>45649</v>
      </c>
      <c r="B57" s="12" vm="166">
        <f ca="1"/>
        <v>223.75</v>
      </c>
      <c r="C57" s="14">
        <f t="shared" ca="1" si="0"/>
        <v>-5.2018495465053684E-3</v>
      </c>
      <c r="D57" s="41"/>
      <c r="E57" s="12" vm="165">
        <f ca="1"/>
        <v>45649</v>
      </c>
      <c r="F57" s="12" vm="167">
        <f ca="1"/>
        <v>431.66</v>
      </c>
      <c r="G57" s="14">
        <f t="shared" ca="1" si="1"/>
        <v>2.5174559445209764E-2</v>
      </c>
      <c r="H57" s="47">
        <f>Risk_and_Portfolio_Metrics!$O$49</f>
        <v>1E-3</v>
      </c>
    </row>
    <row r="58" spans="1:8">
      <c r="A58" s="12" vm="168">
        <f ca="1"/>
        <v>45656</v>
      </c>
      <c r="B58" s="12" vm="169">
        <f ca="1"/>
        <v>224.19</v>
      </c>
      <c r="C58" s="14">
        <f t="shared" ca="1" si="0"/>
        <v>1.9664804469273641E-3</v>
      </c>
      <c r="D58" s="41"/>
      <c r="E58" s="12" vm="168">
        <f ca="1"/>
        <v>45656</v>
      </c>
      <c r="F58" s="12" vm="170">
        <f ca="1"/>
        <v>410.44</v>
      </c>
      <c r="G58" s="14">
        <f t="shared" ca="1" si="1"/>
        <v>-4.9159060371588813E-2</v>
      </c>
      <c r="H58" s="47">
        <f>Risk_and_Portfolio_Metrics!$O$49</f>
        <v>1E-3</v>
      </c>
    </row>
    <row r="59" spans="1:8">
      <c r="A59" s="12" vm="171">
        <f ca="1"/>
        <v>45663</v>
      </c>
      <c r="B59" s="12" vm="172">
        <f ca="1"/>
        <v>218.94</v>
      </c>
      <c r="C59" s="14">
        <f t="shared" ca="1" si="0"/>
        <v>-2.3417636825906599E-2</v>
      </c>
      <c r="D59" s="41"/>
      <c r="E59" s="12" vm="171">
        <f ca="1"/>
        <v>45663</v>
      </c>
      <c r="F59" s="12" vm="173">
        <f ca="1"/>
        <v>394.74</v>
      </c>
      <c r="G59" s="14">
        <f t="shared" ca="1" si="1"/>
        <v>-3.8251632394503431E-2</v>
      </c>
      <c r="H59" s="47">
        <f>Risk_and_Portfolio_Metrics!$O$49</f>
        <v>1E-3</v>
      </c>
    </row>
    <row r="60" spans="1:8">
      <c r="A60" s="12" vm="174">
        <f ca="1"/>
        <v>45670</v>
      </c>
      <c r="B60" s="12" vm="175">
        <f ca="1"/>
        <v>225.94</v>
      </c>
      <c r="C60" s="14">
        <f t="shared" ca="1" si="0"/>
        <v>3.1972229834657896E-2</v>
      </c>
      <c r="D60" s="41"/>
      <c r="E60" s="12" vm="174">
        <f ca="1"/>
        <v>45670</v>
      </c>
      <c r="F60" s="12" vm="176">
        <f ca="1"/>
        <v>426.5</v>
      </c>
      <c r="G60" s="14">
        <f t="shared" ca="1" si="1"/>
        <v>8.0458023002482629E-2</v>
      </c>
      <c r="H60" s="47">
        <f>Risk_and_Portfolio_Metrics!$O$49</f>
        <v>1E-3</v>
      </c>
    </row>
    <row r="61" spans="1:8">
      <c r="A61" s="12" vm="177">
        <f ca="1"/>
        <v>45678</v>
      </c>
      <c r="B61" s="12" vm="178">
        <f ca="1"/>
        <v>234.85</v>
      </c>
      <c r="C61" s="14">
        <f t="shared" ca="1" si="0"/>
        <v>3.9435248296007773E-2</v>
      </c>
      <c r="D61" s="41"/>
      <c r="E61" s="12" vm="177">
        <f ca="1"/>
        <v>45678</v>
      </c>
      <c r="F61" s="12" vm="179">
        <f ca="1"/>
        <v>406.58</v>
      </c>
      <c r="G61" s="14">
        <f t="shared" ca="1" si="1"/>
        <v>-4.6705744431418561E-2</v>
      </c>
      <c r="H61" s="47">
        <f>Risk_and_Portfolio_Metrics!$O$49</f>
        <v>1E-3</v>
      </c>
    </row>
    <row r="62" spans="1:8">
      <c r="A62" s="12" vm="180">
        <f ca="1"/>
        <v>45684</v>
      </c>
      <c r="B62" s="12" vm="181">
        <f ca="1"/>
        <v>237.68</v>
      </c>
      <c r="C62" s="14">
        <f t="shared" ca="1" si="0"/>
        <v>1.2050244837130136E-2</v>
      </c>
      <c r="D62" s="41"/>
      <c r="E62" s="12" vm="180">
        <f ca="1"/>
        <v>45684</v>
      </c>
      <c r="F62" s="12" vm="182">
        <f ca="1"/>
        <v>404.6</v>
      </c>
      <c r="G62" s="14">
        <f t="shared" ca="1" si="1"/>
        <v>-4.8698903044910261E-3</v>
      </c>
      <c r="H62" s="47">
        <f>Risk_and_Portfolio_Metrics!$O$49</f>
        <v>1E-3</v>
      </c>
    </row>
    <row r="63" spans="1:8">
      <c r="A63" s="12" vm="183">
        <f ca="1"/>
        <v>45691</v>
      </c>
      <c r="B63" s="12" vm="184">
        <f ca="1"/>
        <v>229.15</v>
      </c>
      <c r="C63" s="14">
        <f t="shared" ca="1" si="0"/>
        <v>-3.5888589700437568E-2</v>
      </c>
      <c r="D63" s="41"/>
      <c r="E63" s="12" vm="183">
        <f ca="1"/>
        <v>45691</v>
      </c>
      <c r="F63" s="12" vm="185">
        <f ca="1"/>
        <v>361.62</v>
      </c>
      <c r="G63" s="14">
        <f t="shared" ca="1" si="1"/>
        <v>-0.10622837370242219</v>
      </c>
      <c r="H63" s="47">
        <f>Risk_and_Portfolio_Metrics!$O$49</f>
        <v>1E-3</v>
      </c>
    </row>
    <row r="64" spans="1:8">
      <c r="A64" s="12" vm="186">
        <f ca="1"/>
        <v>45698</v>
      </c>
      <c r="B64" s="12" vm="187">
        <f ca="1"/>
        <v>228.68</v>
      </c>
      <c r="C64" s="14">
        <f t="shared" ca="1" si="0"/>
        <v>-2.0510582587824518E-3</v>
      </c>
      <c r="D64" s="41"/>
      <c r="E64" s="12" vm="186">
        <f ca="1"/>
        <v>45698</v>
      </c>
      <c r="F64" s="12" vm="188">
        <f ca="1"/>
        <v>355.84</v>
      </c>
      <c r="G64" s="14">
        <f t="shared" ca="1" si="1"/>
        <v>-1.5983629224047426E-2</v>
      </c>
      <c r="H64" s="47">
        <f>Risk_and_Portfolio_Metrics!$O$49</f>
        <v>1E-3</v>
      </c>
    </row>
    <row r="65" spans="1:8">
      <c r="A65" s="12" vm="189">
        <f ca="1"/>
        <v>45706</v>
      </c>
      <c r="B65" s="12" vm="190">
        <f ca="1"/>
        <v>216.58</v>
      </c>
      <c r="C65" s="14">
        <f t="shared" ca="1" si="0"/>
        <v>-5.2912366625852691E-2</v>
      </c>
      <c r="D65" s="41"/>
      <c r="E65" s="12" vm="189">
        <f ca="1"/>
        <v>45706</v>
      </c>
      <c r="F65" s="12" vm="191">
        <f ca="1"/>
        <v>337.8</v>
      </c>
      <c r="G65" s="14">
        <f t="shared" ca="1" si="1"/>
        <v>-5.0696942446043065E-2</v>
      </c>
      <c r="H65" s="47">
        <f>Risk_and_Portfolio_Metrics!$O$49</f>
        <v>1E-3</v>
      </c>
    </row>
    <row r="66" spans="1:8">
      <c r="A66" s="12" vm="192">
        <f ca="1"/>
        <v>45712</v>
      </c>
      <c r="B66" s="12" vm="193">
        <f ca="1"/>
        <v>212.28</v>
      </c>
      <c r="C66" s="14">
        <f t="shared" ca="1" si="0"/>
        <v>-1.9854095484347637E-2</v>
      </c>
      <c r="D66" s="41"/>
      <c r="E66" s="12" vm="192">
        <f ca="1"/>
        <v>45712</v>
      </c>
      <c r="F66" s="12" vm="194">
        <f ca="1"/>
        <v>292.98</v>
      </c>
      <c r="G66" s="14">
        <f t="shared" ca="1" si="1"/>
        <v>-0.13268206039076375</v>
      </c>
      <c r="H66" s="47">
        <f>Risk_and_Portfolio_Metrics!$O$49</f>
        <v>1E-3</v>
      </c>
    </row>
    <row r="67" spans="1:8">
      <c r="A67" s="12" vm="195">
        <f ca="1"/>
        <v>45719</v>
      </c>
      <c r="B67" s="12" vm="196">
        <f ca="1"/>
        <v>199.25</v>
      </c>
      <c r="C67" s="14">
        <f t="shared" ca="1" si="0"/>
        <v>-6.1381194648577359E-2</v>
      </c>
      <c r="D67" s="41"/>
      <c r="E67" s="12" vm="195">
        <f ca="1"/>
        <v>45719</v>
      </c>
      <c r="F67" s="12" vm="197">
        <f ca="1"/>
        <v>262.67</v>
      </c>
      <c r="G67" s="14">
        <f t="shared" ca="1" si="1"/>
        <v>-0.1034541606935627</v>
      </c>
      <c r="H67" s="47">
        <f>Risk_and_Portfolio_Metrics!$O$49</f>
        <v>1E-3</v>
      </c>
    </row>
    <row r="68" spans="1:8">
      <c r="A68" s="12" vm="198">
        <f ca="1"/>
        <v>45726</v>
      </c>
      <c r="B68" s="12" vm="199">
        <f ca="1"/>
        <v>197.95</v>
      </c>
      <c r="C68" s="14">
        <f t="shared" ref="C68:C131" ca="1" si="6">(B68-B67)/B67</f>
        <v>-6.5244667503137335E-3</v>
      </c>
      <c r="D68" s="41"/>
      <c r="E68" s="12" vm="198">
        <f ca="1"/>
        <v>45726</v>
      </c>
      <c r="F68" s="12" vm="200">
        <f ca="1"/>
        <v>249.98</v>
      </c>
      <c r="G68" s="14">
        <f t="shared" ref="G68:G131" ca="1" si="7">(F68-F67)/F67</f>
        <v>-4.831156965013144E-2</v>
      </c>
      <c r="H68" s="47">
        <f>Risk_and_Portfolio_Metrics!$O$49</f>
        <v>1E-3</v>
      </c>
    </row>
    <row r="69" spans="1:8">
      <c r="A69" s="12" vm="201">
        <f ca="1"/>
        <v>45733</v>
      </c>
      <c r="B69" s="12" vm="202">
        <f ca="1"/>
        <v>196.21</v>
      </c>
      <c r="C69" s="14">
        <f t="shared" ca="1" si="6"/>
        <v>-8.7900985097245816E-3</v>
      </c>
      <c r="D69" s="41"/>
      <c r="E69" s="12" vm="201">
        <f ca="1"/>
        <v>45733</v>
      </c>
      <c r="F69" s="12" vm="203">
        <f ca="1"/>
        <v>248.71</v>
      </c>
      <c r="G69" s="14">
        <f t="shared" ca="1" si="7"/>
        <v>-5.0804064325145285E-3</v>
      </c>
      <c r="H69" s="47">
        <f>Risk_and_Portfolio_Metrics!$O$49</f>
        <v>1E-3</v>
      </c>
    </row>
    <row r="70" spans="1:8">
      <c r="A70" s="12" vm="204">
        <f ca="1"/>
        <v>45740</v>
      </c>
      <c r="B70" s="12" vm="205">
        <f ca="1"/>
        <v>192.72</v>
      </c>
      <c r="C70" s="14">
        <f t="shared" ca="1" si="6"/>
        <v>-1.7787064879465925E-2</v>
      </c>
      <c r="D70" s="41"/>
      <c r="E70" s="12" vm="204">
        <f ca="1"/>
        <v>45740</v>
      </c>
      <c r="F70" s="12" vm="206">
        <f ca="1"/>
        <v>263.55</v>
      </c>
      <c r="G70" s="14">
        <f t="shared" ca="1" si="7"/>
        <v>5.9667886293273305E-2</v>
      </c>
      <c r="H70" s="47">
        <f>Risk_and_Portfolio_Metrics!$O$49</f>
        <v>1E-3</v>
      </c>
    </row>
    <row r="71" spans="1:8">
      <c r="A71" s="12" vm="207">
        <f ca="1"/>
        <v>45747</v>
      </c>
      <c r="B71" s="12" vm="208">
        <f ca="1"/>
        <v>171</v>
      </c>
      <c r="C71" s="14">
        <f t="shared" ca="1" si="6"/>
        <v>-0.11270236612702365</v>
      </c>
      <c r="D71" s="41"/>
      <c r="E71" s="12" vm="207">
        <f ca="1"/>
        <v>45747</v>
      </c>
      <c r="F71" s="12" vm="209">
        <f ca="1"/>
        <v>239.43</v>
      </c>
      <c r="G71" s="14">
        <f t="shared" ca="1" si="7"/>
        <v>-9.1519635742743327E-2</v>
      </c>
      <c r="H71" s="47">
        <f>Risk_and_Portfolio_Metrics!$O$49</f>
        <v>1E-3</v>
      </c>
    </row>
    <row r="72" spans="1:8">
      <c r="A72" s="12" vm="210">
        <f ca="1"/>
        <v>45754</v>
      </c>
      <c r="B72" s="12" vm="211">
        <f ca="1"/>
        <v>184.87</v>
      </c>
      <c r="C72" s="14">
        <f t="shared" ca="1" si="6"/>
        <v>8.1111111111111134E-2</v>
      </c>
      <c r="D72" s="41"/>
      <c r="E72" s="12" vm="210">
        <f ca="1"/>
        <v>45754</v>
      </c>
      <c r="F72" s="12" vm="212">
        <f ca="1"/>
        <v>252.31</v>
      </c>
      <c r="G72" s="14">
        <f t="shared" ca="1" si="7"/>
        <v>5.3794428434197863E-2</v>
      </c>
      <c r="H72" s="47">
        <f>Risk_and_Portfolio_Metrics!$O$49</f>
        <v>1E-3</v>
      </c>
    </row>
    <row r="73" spans="1:8">
      <c r="A73" s="12" vm="213">
        <f ca="1"/>
        <v>45761</v>
      </c>
      <c r="B73" s="12" vm="214">
        <f ca="1"/>
        <v>172.61</v>
      </c>
      <c r="C73" s="14">
        <f t="shared" ca="1" si="6"/>
        <v>-6.6316871314978043E-2</v>
      </c>
      <c r="D73" s="41"/>
      <c r="E73" s="12" vm="213">
        <f ca="1"/>
        <v>45761</v>
      </c>
      <c r="F73" s="12" vm="215">
        <f ca="1"/>
        <v>241.37</v>
      </c>
      <c r="G73" s="14">
        <f t="shared" ca="1" si="7"/>
        <v>-4.3359359518053177E-2</v>
      </c>
      <c r="H73" s="47">
        <f>Risk_and_Portfolio_Metrics!$O$49</f>
        <v>1E-3</v>
      </c>
    </row>
    <row r="74" spans="1:8">
      <c r="A74" s="12" vm="216">
        <f ca="1"/>
        <v>45768</v>
      </c>
      <c r="B74" s="12" vm="136">
        <f ca="1"/>
        <v>188.99</v>
      </c>
      <c r="C74" s="14">
        <f t="shared" ca="1" si="6"/>
        <v>9.4896008342506194E-2</v>
      </c>
      <c r="D74" s="41"/>
      <c r="E74" s="12" vm="216">
        <f ca="1"/>
        <v>45768</v>
      </c>
      <c r="F74" s="12" vm="217">
        <f ca="1"/>
        <v>284.95</v>
      </c>
      <c r="G74" s="14">
        <f t="shared" ca="1" si="7"/>
        <v>0.18055267846045484</v>
      </c>
      <c r="H74" s="47">
        <f>Risk_and_Portfolio_Metrics!$O$49</f>
        <v>1E-3</v>
      </c>
    </row>
    <row r="75" spans="1:8">
      <c r="A75" s="12" vm="218">
        <f ca="1"/>
        <v>45775</v>
      </c>
      <c r="B75" s="12" vm="219">
        <f ca="1"/>
        <v>189.98</v>
      </c>
      <c r="C75" s="14">
        <f t="shared" ca="1" si="6"/>
        <v>5.2383724006560169E-3</v>
      </c>
      <c r="D75" s="41"/>
      <c r="E75" s="12" vm="218">
        <f ca="1"/>
        <v>45775</v>
      </c>
      <c r="F75" s="12" vm="220">
        <f ca="1"/>
        <v>287.20999999999998</v>
      </c>
      <c r="G75" s="14">
        <f t="shared" ca="1" si="7"/>
        <v>7.9312160028074778E-3</v>
      </c>
      <c r="H75" s="47">
        <f>Risk_and_Portfolio_Metrics!$O$49</f>
        <v>1E-3</v>
      </c>
    </row>
    <row r="76" spans="1:8">
      <c r="A76" s="12" vm="221">
        <f ca="1"/>
        <v>45782</v>
      </c>
      <c r="B76" s="12" vm="222">
        <f ca="1"/>
        <v>193.06</v>
      </c>
      <c r="C76" s="14">
        <f t="shared" ca="1" si="6"/>
        <v>1.6212232866617604E-2</v>
      </c>
      <c r="D76" s="41"/>
      <c r="E76" s="12" vm="221">
        <f ca="1"/>
        <v>45782</v>
      </c>
      <c r="F76" s="12" vm="223">
        <f ca="1"/>
        <v>298.26</v>
      </c>
      <c r="G76" s="14">
        <f t="shared" ca="1" si="7"/>
        <v>3.847359075241117E-2</v>
      </c>
      <c r="H76" s="47">
        <f>Risk_and_Portfolio_Metrics!$O$49</f>
        <v>1E-3</v>
      </c>
    </row>
    <row r="77" spans="1:8">
      <c r="A77" s="12" vm="224">
        <f ca="1"/>
        <v>45789</v>
      </c>
      <c r="B77" s="12" vm="225">
        <f ca="1"/>
        <v>205.59</v>
      </c>
      <c r="C77" s="14">
        <f t="shared" ca="1" si="6"/>
        <v>6.4902102973168965E-2</v>
      </c>
      <c r="D77" s="41"/>
      <c r="E77" s="12" vm="224">
        <f ca="1"/>
        <v>45789</v>
      </c>
      <c r="F77" s="12" vm="226">
        <f ca="1"/>
        <v>349.98</v>
      </c>
      <c r="G77" s="14">
        <f t="shared" ca="1" si="7"/>
        <v>0.17340575336954345</v>
      </c>
      <c r="H77" s="47">
        <f>Risk_and_Portfolio_Metrics!$O$49</f>
        <v>1E-3</v>
      </c>
    </row>
    <row r="78" spans="1:8">
      <c r="A78" s="12" vm="227">
        <f ca="1"/>
        <v>45796</v>
      </c>
      <c r="B78" s="12" vm="228">
        <f ca="1"/>
        <v>200.99</v>
      </c>
      <c r="C78" s="14">
        <f t="shared" ca="1" si="6"/>
        <v>-2.2374629116202121E-2</v>
      </c>
      <c r="D78" s="41"/>
      <c r="E78" s="12" vm="227">
        <f ca="1"/>
        <v>45796</v>
      </c>
      <c r="F78" s="12" vm="229">
        <f ca="1"/>
        <v>339.34</v>
      </c>
      <c r="G78" s="14">
        <f t="shared" ca="1" si="7"/>
        <v>-3.0401737242128243E-2</v>
      </c>
      <c r="H78" s="47">
        <f>Risk_and_Portfolio_Metrics!$O$49</f>
        <v>1E-3</v>
      </c>
    </row>
    <row r="79" spans="1:8">
      <c r="A79" s="12" vm="230">
        <f ca="1"/>
        <v>45804</v>
      </c>
      <c r="B79" s="12" vm="231">
        <f ca="1"/>
        <v>205.01</v>
      </c>
      <c r="C79" s="14">
        <f t="shared" ca="1" si="6"/>
        <v>2.000099507438172E-2</v>
      </c>
      <c r="D79" s="41"/>
      <c r="E79" s="12" vm="230">
        <f ca="1"/>
        <v>45804</v>
      </c>
      <c r="F79" s="12" vm="232">
        <f ca="1"/>
        <v>346.46</v>
      </c>
      <c r="G79" s="14">
        <f t="shared" ca="1" si="7"/>
        <v>2.0981906052926283E-2</v>
      </c>
      <c r="H79" s="47">
        <f>Risk_and_Portfolio_Metrics!$O$49</f>
        <v>1E-3</v>
      </c>
    </row>
    <row r="80" spans="1:8">
      <c r="A80" s="12" vm="233">
        <f ca="1"/>
        <v>45810</v>
      </c>
      <c r="B80" s="12" vm="234">
        <f ca="1"/>
        <v>213.57</v>
      </c>
      <c r="C80" s="14">
        <f t="shared" ca="1" si="6"/>
        <v>4.1754060777523062E-2</v>
      </c>
      <c r="D80" s="41"/>
      <c r="E80" s="12" vm="233">
        <f ca="1"/>
        <v>45810</v>
      </c>
      <c r="F80" s="12" vm="235">
        <f ca="1"/>
        <v>295.14</v>
      </c>
      <c r="G80" s="14">
        <f t="shared" ca="1" si="7"/>
        <v>-0.14812676788085202</v>
      </c>
      <c r="H80" s="47">
        <f>Risk_and_Portfolio_Metrics!$O$49</f>
        <v>1E-3</v>
      </c>
    </row>
    <row r="81" spans="1:8">
      <c r="A81" s="12" vm="236">
        <f ca="1"/>
        <v>45817</v>
      </c>
      <c r="B81" s="12" vm="237">
        <f ca="1"/>
        <v>212.1</v>
      </c>
      <c r="C81" s="14">
        <f t="shared" ca="1" si="6"/>
        <v>-6.8829891838741346E-3</v>
      </c>
      <c r="D81" s="41"/>
      <c r="E81" s="12" vm="236">
        <f ca="1"/>
        <v>45817</v>
      </c>
      <c r="F81" s="12" vm="238">
        <f ca="1"/>
        <v>325.31</v>
      </c>
      <c r="G81" s="14">
        <f t="shared" ca="1" si="7"/>
        <v>0.10222267398522741</v>
      </c>
      <c r="H81" s="47">
        <f>Risk_and_Portfolio_Metrics!$O$49</f>
        <v>1E-3</v>
      </c>
    </row>
    <row r="82" spans="1:8">
      <c r="A82" s="12" vm="239">
        <f ca="1"/>
        <v>45824</v>
      </c>
      <c r="B82" s="12" vm="240">
        <f ca="1"/>
        <v>209.69</v>
      </c>
      <c r="C82" s="14">
        <f t="shared" ca="1" si="6"/>
        <v>-1.1362564827911347E-2</v>
      </c>
      <c r="D82" s="41"/>
      <c r="E82" s="12" vm="239">
        <f ca="1"/>
        <v>45824</v>
      </c>
      <c r="F82" s="12" vm="241">
        <f ca="1"/>
        <v>322.16000000000003</v>
      </c>
      <c r="G82" s="14">
        <f t="shared" ca="1" si="7"/>
        <v>-9.6830715317696263E-3</v>
      </c>
      <c r="H82" s="47">
        <f>Risk_and_Portfolio_Metrics!$O$49</f>
        <v>1E-3</v>
      </c>
    </row>
    <row r="83" spans="1:8">
      <c r="A83" s="12" vm="242">
        <f ca="1"/>
        <v>45831</v>
      </c>
      <c r="B83" s="12" vm="243">
        <f ca="1"/>
        <v>223.3</v>
      </c>
      <c r="C83" s="14">
        <f t="shared" ca="1" si="6"/>
        <v>6.4905336449043893E-2</v>
      </c>
      <c r="D83" s="41"/>
      <c r="E83" s="12" vm="242">
        <f ca="1"/>
        <v>45831</v>
      </c>
      <c r="F83" s="12" vm="244">
        <f ca="1"/>
        <v>323.63</v>
      </c>
      <c r="G83" s="14">
        <f t="shared" ca="1" si="7"/>
        <v>4.5629500869132427E-3</v>
      </c>
      <c r="H83" s="47">
        <f>Risk_and_Portfolio_Metrics!$O$49</f>
        <v>1E-3</v>
      </c>
    </row>
    <row r="84" spans="1:8">
      <c r="A84" s="12" vm="245">
        <f ca="1"/>
        <v>45838</v>
      </c>
      <c r="B84" s="12" vm="246">
        <f ca="1"/>
        <v>223.41</v>
      </c>
      <c r="C84" s="14">
        <f t="shared" ca="1" si="6"/>
        <v>4.9261083743835747E-4</v>
      </c>
      <c r="D84" s="41"/>
      <c r="E84" s="12" vm="245">
        <f ca="1"/>
        <v>45838</v>
      </c>
      <c r="F84" s="12" vm="247">
        <f ca="1"/>
        <v>315.35000000000002</v>
      </c>
      <c r="G84" s="14">
        <f t="shared" ca="1" si="7"/>
        <v>-2.5584772734295252E-2</v>
      </c>
      <c r="H84" s="47">
        <f>Risk_and_Portfolio_Metrics!$O$49</f>
        <v>1E-3</v>
      </c>
    </row>
    <row r="85" spans="1:8">
      <c r="A85" s="12" vm="248">
        <f ca="1"/>
        <v>45845</v>
      </c>
      <c r="B85" s="12" vm="249">
        <f ca="1"/>
        <v>225.02</v>
      </c>
      <c r="C85" s="14">
        <f t="shared" ca="1" si="6"/>
        <v>7.2064813571461155E-3</v>
      </c>
      <c r="D85" s="41"/>
      <c r="E85" s="12" vm="248">
        <f ca="1"/>
        <v>45845</v>
      </c>
      <c r="F85" s="12" vm="250">
        <f ca="1"/>
        <v>313.51</v>
      </c>
      <c r="G85" s="14">
        <f t="shared" ca="1" si="7"/>
        <v>-5.8347867448867346E-3</v>
      </c>
      <c r="H85" s="47">
        <f>Risk_and_Portfolio_Metrics!$O$49</f>
        <v>1E-3</v>
      </c>
    </row>
    <row r="86" spans="1:8">
      <c r="A86" s="12" vm="251">
        <f ca="1"/>
        <v>45852</v>
      </c>
      <c r="B86" s="12" vm="252">
        <f ca="1"/>
        <v>226.13</v>
      </c>
      <c r="C86" s="14">
        <f t="shared" ca="1" si="6"/>
        <v>4.9328948537907084E-3</v>
      </c>
      <c r="D86" s="41"/>
      <c r="E86" s="12" vm="251">
        <f ca="1"/>
        <v>45852</v>
      </c>
      <c r="F86" s="12" vm="253">
        <f ca="1"/>
        <v>329.65</v>
      </c>
      <c r="G86" s="14">
        <f t="shared" ca="1" si="7"/>
        <v>5.148161143185221E-2</v>
      </c>
      <c r="H86" s="47">
        <f>Risk_and_Portfolio_Metrics!$O$49</f>
        <v>1E-3</v>
      </c>
    </row>
    <row r="87" spans="1:8">
      <c r="A87" s="12" vm="254">
        <f ca="1"/>
        <v>45859</v>
      </c>
      <c r="B87" s="12" vm="255">
        <f ca="1"/>
        <v>231.44</v>
      </c>
      <c r="C87" s="14">
        <f t="shared" ca="1" si="6"/>
        <v>2.3482067837084872E-2</v>
      </c>
      <c r="D87" s="41"/>
      <c r="E87" s="12" vm="254">
        <f ca="1"/>
        <v>45859</v>
      </c>
      <c r="F87" s="12" vm="256">
        <f ca="1"/>
        <v>316.06</v>
      </c>
      <c r="G87" s="14">
        <f t="shared" ca="1" si="7"/>
        <v>-4.1225542241771503E-2</v>
      </c>
      <c r="H87" s="47">
        <f>Risk_and_Portfolio_Metrics!$O$49</f>
        <v>1E-3</v>
      </c>
    </row>
    <row r="88" spans="1:8">
      <c r="A88" s="12" vm="257">
        <f ca="1"/>
        <v>45866</v>
      </c>
      <c r="B88" s="12" vm="258">
        <f ca="1"/>
        <v>214.75</v>
      </c>
      <c r="C88" s="14">
        <f t="shared" ca="1" si="6"/>
        <v>-7.2113722779122008E-2</v>
      </c>
      <c r="D88" s="41"/>
      <c r="E88" s="12" vm="257">
        <f ca="1"/>
        <v>45866</v>
      </c>
      <c r="F88" s="12" vm="259">
        <f ca="1"/>
        <v>302.63</v>
      </c>
      <c r="G88" s="14">
        <f t="shared" ca="1" si="7"/>
        <v>-4.2491931911662367E-2</v>
      </c>
      <c r="H88" s="47">
        <f>Risk_and_Portfolio_Metrics!$O$49</f>
        <v>1E-3</v>
      </c>
    </row>
    <row r="89" spans="1:8">
      <c r="A89" s="12" vm="260">
        <f ca="1"/>
        <v>45873</v>
      </c>
      <c r="B89" s="12" vm="261">
        <f ca="1"/>
        <v>222.69</v>
      </c>
      <c r="C89" s="14">
        <f t="shared" ca="1" si="6"/>
        <v>3.6973224679860292E-2</v>
      </c>
      <c r="D89" s="41"/>
      <c r="E89" s="12" vm="260">
        <f ca="1"/>
        <v>45873</v>
      </c>
      <c r="F89" s="12" vm="253">
        <f ca="1"/>
        <v>329.65</v>
      </c>
      <c r="G89" s="14">
        <f t="shared" ca="1" si="7"/>
        <v>8.9283944090143022E-2</v>
      </c>
      <c r="H89" s="47">
        <f>Risk_and_Portfolio_Metrics!$O$49</f>
        <v>1E-3</v>
      </c>
    </row>
    <row r="90" spans="1:8">
      <c r="A90" s="12" vm="262">
        <f ca="1"/>
        <v>45880</v>
      </c>
      <c r="B90" s="12" vm="263">
        <f ca="1"/>
        <v>231.03</v>
      </c>
      <c r="C90" s="14">
        <f t="shared" ca="1" si="6"/>
        <v>3.7451165297049727E-2</v>
      </c>
      <c r="D90" s="41"/>
      <c r="E90" s="12" vm="262">
        <f ca="1"/>
        <v>45880</v>
      </c>
      <c r="F90" s="12" vm="264">
        <f ca="1"/>
        <v>330.56</v>
      </c>
      <c r="G90" s="14">
        <f t="shared" ca="1" si="7"/>
        <v>2.7605035643865467E-3</v>
      </c>
      <c r="H90" s="47">
        <f>Risk_and_Portfolio_Metrics!$O$49</f>
        <v>1E-3</v>
      </c>
    </row>
    <row r="91" spans="1:8">
      <c r="A91" s="12" vm="265">
        <f ca="1"/>
        <v>45887</v>
      </c>
      <c r="B91" s="12" vm="266">
        <f ca="1"/>
        <v>228.84</v>
      </c>
      <c r="C91" s="14">
        <f t="shared" ca="1" si="6"/>
        <v>-9.4792884041033539E-3</v>
      </c>
      <c r="D91" s="41"/>
      <c r="E91" s="12" vm="265">
        <f ca="1"/>
        <v>45887</v>
      </c>
      <c r="F91" s="12" vm="267">
        <f ca="1"/>
        <v>340.01</v>
      </c>
      <c r="G91" s="14">
        <f t="shared" ca="1" si="7"/>
        <v>2.8587850919651468E-2</v>
      </c>
      <c r="H91" s="47">
        <f>Risk_and_Portfolio_Metrics!$O$49</f>
        <v>1E-3</v>
      </c>
    </row>
    <row r="92" spans="1:8">
      <c r="A92" s="12" vm="268">
        <f ca="1"/>
        <v>45894</v>
      </c>
      <c r="B92" s="12" vm="269">
        <f ca="1"/>
        <v>229</v>
      </c>
      <c r="C92" s="14">
        <f t="shared" ca="1" si="6"/>
        <v>6.9917846530325378E-4</v>
      </c>
      <c r="D92" s="41"/>
      <c r="E92" s="12" vm="268">
        <f ca="1"/>
        <v>45894</v>
      </c>
      <c r="F92" s="12" vm="270">
        <f ca="1"/>
        <v>333.87</v>
      </c>
      <c r="G92" s="14">
        <f t="shared" ca="1" si="7"/>
        <v>-1.8058292403164575E-2</v>
      </c>
      <c r="H92" s="47">
        <f>Risk_and_Portfolio_Metrics!$O$49</f>
        <v>1E-3</v>
      </c>
    </row>
    <row r="93" spans="1:8">
      <c r="A93" s="12" vm="271">
        <f ca="1"/>
        <v>45902</v>
      </c>
      <c r="B93" s="12" vm="272">
        <f ca="1"/>
        <v>232.33</v>
      </c>
      <c r="C93" s="14">
        <f t="shared" ca="1" si="6"/>
        <v>1.4541484716157261E-2</v>
      </c>
      <c r="D93" s="41"/>
      <c r="E93" s="12" vm="271">
        <f ca="1"/>
        <v>45902</v>
      </c>
      <c r="F93" s="12" vm="273">
        <f ca="1"/>
        <v>350.84</v>
      </c>
      <c r="G93" s="14">
        <f t="shared" ca="1" si="7"/>
        <v>5.0828166651690689E-2</v>
      </c>
      <c r="H93" s="47">
        <f>Risk_and_Portfolio_Metrics!$O$49</f>
        <v>1E-3</v>
      </c>
    </row>
    <row r="94" spans="1:8">
      <c r="A94" s="12" vm="274">
        <f ca="1"/>
        <v>45908</v>
      </c>
      <c r="B94" s="12" vm="275">
        <f ca="1"/>
        <v>228.15</v>
      </c>
      <c r="C94" s="14">
        <f t="shared" ca="1" si="6"/>
        <v>-1.7991649808462129E-2</v>
      </c>
      <c r="D94" s="41"/>
      <c r="E94" s="12" vm="274">
        <f ca="1"/>
        <v>45908</v>
      </c>
      <c r="F94" s="12" vm="276">
        <f ca="1"/>
        <v>395.94</v>
      </c>
      <c r="G94" s="14">
        <f t="shared" ca="1" si="7"/>
        <v>0.12854862615437243</v>
      </c>
      <c r="H94" s="47">
        <f>Risk_and_Portfolio_Metrics!$O$49</f>
        <v>1E-3</v>
      </c>
    </row>
    <row r="95" spans="1:8">
      <c r="A95" s="12" vm="277">
        <f ca="1"/>
        <v>45915</v>
      </c>
      <c r="B95" s="12" vm="278">
        <f ca="1"/>
        <v>231.48</v>
      </c>
      <c r="C95" s="14">
        <f t="shared" ca="1" si="6"/>
        <v>1.4595660749506833E-2</v>
      </c>
      <c r="D95" s="41"/>
      <c r="E95" s="12" vm="277">
        <f ca="1"/>
        <v>45915</v>
      </c>
      <c r="F95" s="12" vm="279">
        <f ca="1"/>
        <v>426.07</v>
      </c>
      <c r="G95" s="14">
        <f t="shared" ca="1" si="7"/>
        <v>7.6097388493206033E-2</v>
      </c>
      <c r="H95" s="47">
        <f>Risk_and_Portfolio_Metrics!$O$49</f>
        <v>1E-3</v>
      </c>
    </row>
    <row r="96" spans="1:8">
      <c r="A96" s="12" vm="280">
        <f ca="1"/>
        <v>45922</v>
      </c>
      <c r="B96" s="12" vm="281">
        <f ca="1"/>
        <v>219.78</v>
      </c>
      <c r="C96" s="14">
        <f t="shared" ca="1" si="6"/>
        <v>-5.0544323483670252E-2</v>
      </c>
      <c r="D96" s="41"/>
      <c r="E96" s="12" vm="280">
        <f ca="1"/>
        <v>45922</v>
      </c>
      <c r="F96" s="12" vm="282">
        <f ca="1"/>
        <v>440.4</v>
      </c>
      <c r="G96" s="14">
        <f t="shared" ca="1" si="7"/>
        <v>3.3632971108033857E-2</v>
      </c>
      <c r="H96" s="47">
        <f>Risk_and_Portfolio_Metrics!$O$49</f>
        <v>1E-3</v>
      </c>
    </row>
    <row r="97" spans="1:8">
      <c r="A97" s="12" vm="283">
        <f ca="1"/>
        <v>45929</v>
      </c>
      <c r="B97" s="12" vm="284">
        <f ca="1"/>
        <v>219.51</v>
      </c>
      <c r="C97" s="14">
        <f t="shared" ca="1" si="6"/>
        <v>-1.2285012285012751E-3</v>
      </c>
      <c r="D97" s="41"/>
      <c r="E97" s="12" vm="283">
        <f ca="1"/>
        <v>45929</v>
      </c>
      <c r="F97" s="12" vm="285">
        <f ca="1"/>
        <v>429.83</v>
      </c>
      <c r="G97" s="14">
        <f t="shared" ca="1" si="7"/>
        <v>-2.4000908265213429E-2</v>
      </c>
      <c r="H97" s="47">
        <f>Risk_and_Portfolio_Metrics!$O$49</f>
        <v>1E-3</v>
      </c>
    </row>
    <row r="98" spans="1:8">
      <c r="A98" s="12" vm="286">
        <f ca="1"/>
        <v>45936</v>
      </c>
      <c r="B98" s="12" vm="287">
        <f ca="1"/>
        <v>216.37</v>
      </c>
      <c r="C98" s="14">
        <f t="shared" ca="1" si="6"/>
        <v>-1.4304587490319286E-2</v>
      </c>
      <c r="D98" s="41"/>
      <c r="E98" s="12" vm="286">
        <f ca="1"/>
        <v>45936</v>
      </c>
      <c r="F98" s="12" vm="288">
        <f ca="1"/>
        <v>413.49</v>
      </c>
      <c r="G98" s="14">
        <f t="shared" ca="1" si="7"/>
        <v>-3.8015029197589686E-2</v>
      </c>
      <c r="H98" s="47">
        <f>Risk_and_Portfolio_Metrics!$O$49</f>
        <v>1E-3</v>
      </c>
    </row>
    <row r="99" spans="1:8">
      <c r="A99" s="12" vm="289">
        <f ca="1"/>
        <v>45943</v>
      </c>
      <c r="B99" s="12" vm="290">
        <f ca="1"/>
        <v>213.04</v>
      </c>
      <c r="C99" s="14">
        <f t="shared" ca="1" si="6"/>
        <v>-1.5390303646531461E-2</v>
      </c>
      <c r="D99" s="41"/>
      <c r="E99" s="12" vm="289">
        <f ca="1"/>
        <v>45943</v>
      </c>
      <c r="F99" s="12" vm="291">
        <f ca="1"/>
        <v>439.31</v>
      </c>
      <c r="G99" s="14">
        <f t="shared" ca="1" si="7"/>
        <v>6.2444073617257956E-2</v>
      </c>
      <c r="H99" s="47">
        <f>Risk_and_Portfolio_Metrics!$O$49</f>
        <v>1E-3</v>
      </c>
    </row>
    <row r="100" spans="1:8">
      <c r="A100" s="12" vm="292">
        <f ca="1"/>
        <v>45950</v>
      </c>
      <c r="B100" s="12" vm="293">
        <f ca="1"/>
        <v>224.21</v>
      </c>
      <c r="C100" s="14">
        <f t="shared" ca="1" si="6"/>
        <v>5.2431468268869776E-2</v>
      </c>
      <c r="D100" s="41"/>
      <c r="E100" s="12" vm="292">
        <f ca="1"/>
        <v>45950</v>
      </c>
      <c r="F100" s="12" vm="294">
        <f ca="1"/>
        <v>433.72</v>
      </c>
      <c r="G100" s="14">
        <f t="shared" ca="1" si="7"/>
        <v>-1.2724499783751736E-2</v>
      </c>
      <c r="H100" s="47">
        <f>Risk_and_Portfolio_Metrics!$O$49</f>
        <v>1E-3</v>
      </c>
    </row>
    <row r="101" spans="1:8">
      <c r="A101" s="12" vm="295">
        <f ca="1"/>
        <v>45957</v>
      </c>
      <c r="B101" s="12" vm="296">
        <f ca="1"/>
        <v>244.22</v>
      </c>
      <c r="C101" s="14">
        <f t="shared" ca="1" si="6"/>
        <v>8.9246688372507876E-2</v>
      </c>
      <c r="D101" s="41"/>
      <c r="E101" s="12" vm="295">
        <f ca="1"/>
        <v>45957</v>
      </c>
      <c r="F101" s="12" vm="297">
        <f ca="1"/>
        <v>456.56</v>
      </c>
      <c r="G101" s="14">
        <f t="shared" ca="1" si="7"/>
        <v>5.2660702757539368E-2</v>
      </c>
      <c r="H101" s="47">
        <f>Risk_and_Portfolio_Metrics!$O$49</f>
        <v>1E-3</v>
      </c>
    </row>
    <row r="102" spans="1:8">
      <c r="A102" s="12" vm="298">
        <f ca="1"/>
        <v>45964</v>
      </c>
      <c r="B102" s="12" vm="299">
        <f ca="1"/>
        <v>244.41</v>
      </c>
      <c r="C102" s="14">
        <f t="shared" ca="1" si="6"/>
        <v>7.7798706084676822E-4</v>
      </c>
      <c r="D102" s="41"/>
      <c r="E102" s="12" vm="298">
        <f ca="1"/>
        <v>45964</v>
      </c>
      <c r="F102" s="12" vm="300">
        <f ca="1"/>
        <v>429.52</v>
      </c>
      <c r="G102" s="14">
        <f t="shared" ca="1" si="7"/>
        <v>-5.9225512528473849E-2</v>
      </c>
      <c r="H102" s="47">
        <f>Risk_and_Portfolio_Metrics!$O$49</f>
        <v>1E-3</v>
      </c>
    </row>
    <row r="103" spans="1:8">
      <c r="A103" s="12" vm="301">
        <f ca="1"/>
        <v>45971</v>
      </c>
      <c r="B103" s="12" vm="302">
        <f ca="1"/>
        <v>234.69</v>
      </c>
      <c r="C103" s="14">
        <f t="shared" ca="1" si="6"/>
        <v>-3.9769240211120653E-2</v>
      </c>
      <c r="D103" s="41"/>
      <c r="E103" s="12" vm="301">
        <f ca="1"/>
        <v>45971</v>
      </c>
      <c r="F103" s="12" vm="303">
        <f ca="1"/>
        <v>404.35</v>
      </c>
      <c r="G103" s="14">
        <f t="shared" ca="1" si="7"/>
        <v>-5.8600298007077577E-2</v>
      </c>
      <c r="H103" s="47">
        <f>Risk_and_Portfolio_Metrics!$O$49</f>
        <v>1E-3</v>
      </c>
    </row>
    <row r="104" spans="1:8">
      <c r="A104" s="12" vm="304">
        <f ca="1"/>
        <v>45978</v>
      </c>
      <c r="B104" s="12" vm="305">
        <f ca="1"/>
        <v>220.69</v>
      </c>
      <c r="C104" s="14">
        <f t="shared" ca="1" si="6"/>
        <v>-5.9653159486982826E-2</v>
      </c>
      <c r="D104" s="41"/>
      <c r="E104" s="12" vm="304">
        <f ca="1"/>
        <v>45978</v>
      </c>
      <c r="F104" s="12" vm="306">
        <f ca="1"/>
        <v>391.09</v>
      </c>
      <c r="G104" s="14">
        <f t="shared" ca="1" si="7"/>
        <v>-3.2793372078644856E-2</v>
      </c>
      <c r="H104" s="47">
        <f>Risk_and_Portfolio_Metrics!$O$49</f>
        <v>1E-3</v>
      </c>
    </row>
    <row r="105" spans="1:8">
      <c r="A105" s="12" vm="307">
        <f ca="1"/>
        <v>45985</v>
      </c>
      <c r="B105" s="12" vm="308">
        <f ca="1"/>
        <v>233.22</v>
      </c>
      <c r="C105" s="14">
        <f t="shared" ca="1" si="6"/>
        <v>5.6776473786759714E-2</v>
      </c>
      <c r="D105" s="41"/>
      <c r="E105" s="12" vm="307">
        <f ca="1"/>
        <v>45985</v>
      </c>
      <c r="F105" s="12" vm="309">
        <f ca="1"/>
        <v>430.17</v>
      </c>
      <c r="G105" s="14">
        <f t="shared" ca="1" si="7"/>
        <v>9.9925848270219247E-2</v>
      </c>
      <c r="H105" s="47">
        <f>Risk_and_Portfolio_Metrics!$O$49</f>
        <v>1E-3</v>
      </c>
    </row>
    <row r="106" spans="1:8">
      <c r="A106" s="12" vm="310">
        <f ca="1"/>
        <v>45992</v>
      </c>
      <c r="B106" s="12" vm="311">
        <f ca="1"/>
        <v>229.53</v>
      </c>
      <c r="C106" s="14">
        <f t="shared" ca="1" si="6"/>
        <v>-1.5821970671468989E-2</v>
      </c>
      <c r="D106" s="41"/>
      <c r="E106" s="12" vm="310">
        <f ca="1"/>
        <v>45992</v>
      </c>
      <c r="F106" s="12" vm="312">
        <f ca="1"/>
        <v>455</v>
      </c>
      <c r="G106" s="14">
        <f t="shared" ca="1" si="7"/>
        <v>5.7721365971592588E-2</v>
      </c>
      <c r="H106" s="47">
        <f>Risk_and_Portfolio_Metrics!$O$49</f>
        <v>1E-3</v>
      </c>
    </row>
    <row r="107" spans="1:8">
      <c r="A107" s="12" vm="313">
        <f ca="1"/>
        <v>45999</v>
      </c>
      <c r="B107" s="12" vm="314">
        <f ca="1"/>
        <v>226.19</v>
      </c>
      <c r="C107" s="14">
        <f t="shared" ca="1" si="6"/>
        <v>-1.4551474752755646E-2</v>
      </c>
      <c r="D107" s="41"/>
      <c r="E107" s="12" vm="313">
        <f ca="1"/>
        <v>45999</v>
      </c>
      <c r="F107" s="12" vm="315">
        <f ca="1"/>
        <v>458.96</v>
      </c>
      <c r="G107" s="14">
        <f t="shared" ca="1" si="7"/>
        <v>8.703296703296658E-3</v>
      </c>
      <c r="H107" s="47">
        <f>Risk_and_Portfolio_Metrics!$O$49</f>
        <v>1E-3</v>
      </c>
    </row>
    <row r="108" spans="1:8">
      <c r="A108" s="12" vm="316">
        <f ca="1"/>
        <v>46006</v>
      </c>
      <c r="B108" s="12" vm="317">
        <f ca="1"/>
        <v>227.35</v>
      </c>
      <c r="C108" s="14">
        <f t="shared" ca="1" si="6"/>
        <v>5.128431849330194E-3</v>
      </c>
      <c r="D108" s="41"/>
      <c r="E108" s="12" vm="316">
        <f ca="1"/>
        <v>46006</v>
      </c>
      <c r="F108" s="12" vm="318">
        <f ca="1"/>
        <v>481.2</v>
      </c>
      <c r="G108" s="14">
        <f t="shared" ca="1" si="7"/>
        <v>4.8457381906920012E-2</v>
      </c>
      <c r="H108" s="47">
        <f>Risk_and_Portfolio_Metrics!$O$49</f>
        <v>1E-3</v>
      </c>
    </row>
    <row r="109" spans="1:8">
      <c r="A109" s="12" vm="319">
        <f ca="1"/>
        <v>46013</v>
      </c>
      <c r="B109" s="12" vm="320">
        <f ca="1"/>
        <v>232.52</v>
      </c>
      <c r="C109" s="14">
        <f t="shared" ca="1" si="6"/>
        <v>2.2740268308775086E-2</v>
      </c>
      <c r="D109" s="41"/>
      <c r="E109" s="12" vm="319">
        <f ca="1"/>
        <v>46013</v>
      </c>
      <c r="F109" s="12" vm="321">
        <f ca="1"/>
        <v>475.19</v>
      </c>
      <c r="G109" s="14">
        <f t="shared" ca="1" si="7"/>
        <v>-1.2489609310058169E-2</v>
      </c>
      <c r="H109" s="47">
        <f>Risk_and_Portfolio_Metrics!$O$49</f>
        <v>1E-3</v>
      </c>
    </row>
    <row r="110" spans="1:8">
      <c r="A110" s="12" vm="322">
        <f ca="1"/>
        <v>46020</v>
      </c>
      <c r="B110" s="12" vm="323">
        <f ca="1"/>
        <v>226.5</v>
      </c>
      <c r="C110" s="14">
        <f t="shared" ca="1" si="6"/>
        <v>-2.5890246000344098E-2</v>
      </c>
      <c r="D110" s="41"/>
      <c r="E110" s="12" vm="322">
        <f ca="1"/>
        <v>46020</v>
      </c>
      <c r="F110" s="12" vm="324">
        <f ca="1"/>
        <v>438.07</v>
      </c>
      <c r="G110" s="14">
        <f t="shared" ca="1" si="7"/>
        <v>-7.8116121972263738E-2</v>
      </c>
      <c r="H110" s="47">
        <f>Risk_and_Portfolio_Metrics!$O$49</f>
        <v>1E-3</v>
      </c>
    </row>
    <row r="111" spans="1:8">
      <c r="A111" s="12" vm="325">
        <f ca="1"/>
        <v>46027</v>
      </c>
      <c r="B111" s="12" vm="326">
        <f ca="1"/>
        <v>247.38</v>
      </c>
      <c r="C111" s="14">
        <f t="shared" ca="1" si="6"/>
        <v>9.2185430463576135E-2</v>
      </c>
      <c r="D111" s="41"/>
      <c r="E111" s="12" vm="325">
        <f ca="1"/>
        <v>46027</v>
      </c>
      <c r="F111" s="12" vm="327">
        <f ca="1"/>
        <v>445.01</v>
      </c>
      <c r="G111" s="14">
        <f t="shared" ca="1" si="7"/>
        <v>1.5842216997283533E-2</v>
      </c>
      <c r="H111" s="47">
        <f>Risk_and_Portfolio_Metrics!$O$49</f>
        <v>1E-3</v>
      </c>
    </row>
    <row r="112" spans="1:8">
      <c r="A112" s="12" vm="328">
        <f ca="1"/>
        <v>46034</v>
      </c>
      <c r="B112" s="12" vm="329">
        <f ca="1"/>
        <v>239.12</v>
      </c>
      <c r="C112" s="14">
        <f t="shared" ca="1" si="6"/>
        <v>-3.3389926428975626E-2</v>
      </c>
      <c r="D112" s="41"/>
      <c r="E112" s="12" vm="328">
        <f ca="1"/>
        <v>46034</v>
      </c>
      <c r="F112" s="12" vm="330">
        <f ca="1"/>
        <v>437.5</v>
      </c>
      <c r="G112" s="14">
        <f t="shared" ca="1" si="7"/>
        <v>-1.6876025257859355E-2</v>
      </c>
      <c r="H112" s="47">
        <f>Risk_and_Portfolio_Metrics!$O$49</f>
        <v>1E-3</v>
      </c>
    </row>
    <row r="113" spans="1:8">
      <c r="A113" s="12" vm="331">
        <f ca="1"/>
        <v>46042</v>
      </c>
      <c r="B113" s="12" vm="332">
        <f ca="1"/>
        <v>239.16</v>
      </c>
      <c r="C113" s="14">
        <f t="shared" ca="1" si="6"/>
        <v>1.6728002676477099E-4</v>
      </c>
      <c r="D113" s="41"/>
      <c r="E113" s="12" vm="331">
        <f ca="1"/>
        <v>46042</v>
      </c>
      <c r="F113" s="12" vm="333">
        <f ca="1"/>
        <v>449.06</v>
      </c>
      <c r="G113" s="14">
        <f t="shared" ca="1" si="7"/>
        <v>2.6422857142857147E-2</v>
      </c>
      <c r="H113" s="47">
        <f>Risk_and_Portfolio_Metrics!$O$49</f>
        <v>1E-3</v>
      </c>
    </row>
    <row r="114" spans="1:8">
      <c r="A114" s="12" vm="334">
        <f ca="1"/>
        <v>46048</v>
      </c>
      <c r="B114" s="12" vm="335">
        <f ca="1"/>
        <v>239.3</v>
      </c>
      <c r="C114" s="14">
        <f t="shared" ca="1" si="6"/>
        <v>5.8538217093165573E-4</v>
      </c>
      <c r="D114" s="41"/>
      <c r="E114" s="12" vm="334">
        <f ca="1"/>
        <v>46048</v>
      </c>
      <c r="F114" s="12" vm="336">
        <f ca="1"/>
        <v>430.41</v>
      </c>
      <c r="G114" s="14">
        <f t="shared" ca="1" si="7"/>
        <v>-4.153119850354068E-2</v>
      </c>
      <c r="H114" s="47">
        <f>Risk_and_Portfolio_Metrics!$O$49</f>
        <v>1E-3</v>
      </c>
    </row>
    <row r="115" spans="1:8">
      <c r="A115" s="12" vm="337">
        <f ca="1"/>
        <v>46055</v>
      </c>
      <c r="B115" s="12" vm="338">
        <f ca="1"/>
        <v>210.32</v>
      </c>
      <c r="C115" s="14">
        <f t="shared" ca="1" si="6"/>
        <v>-0.12110321771834524</v>
      </c>
      <c r="D115" s="41"/>
      <c r="E115" s="12" vm="337">
        <f ca="1"/>
        <v>46055</v>
      </c>
      <c r="F115" s="12" vm="339">
        <f ca="1"/>
        <v>411.11</v>
      </c>
      <c r="G115" s="14">
        <f t="shared" ca="1" si="7"/>
        <v>-4.484096559094819E-2</v>
      </c>
      <c r="H115" s="47">
        <f>Risk_and_Portfolio_Metrics!$O$49</f>
        <v>1E-3</v>
      </c>
    </row>
    <row r="116" spans="1:8">
      <c r="A116" s="12" vm="340">
        <f ca="1"/>
        <v>46062</v>
      </c>
      <c r="B116" s="12" vm="341">
        <f ca="1"/>
        <v>198.79</v>
      </c>
      <c r="C116" s="14">
        <f t="shared" ca="1" si="6"/>
        <v>-5.4821224800304304E-2</v>
      </c>
      <c r="D116" s="41"/>
      <c r="E116" s="12" vm="340">
        <f ca="1"/>
        <v>46062</v>
      </c>
      <c r="F116" s="12" vm="342">
        <f ca="1"/>
        <v>417.44</v>
      </c>
      <c r="G116" s="14">
        <f t="shared" ca="1" si="7"/>
        <v>1.539733891172675E-2</v>
      </c>
      <c r="H116" s="47">
        <f>Risk_and_Portfolio_Metrics!$O$49</f>
        <v>1E-3</v>
      </c>
    </row>
    <row r="117" spans="1:8">
      <c r="A117" s="12" vm="343">
        <f ca="1"/>
        <v>46070</v>
      </c>
      <c r="B117" s="12" vm="344">
        <f ca="1"/>
        <v>210.11</v>
      </c>
      <c r="C117" s="14">
        <f t="shared" ca="1" si="6"/>
        <v>5.6944514311585204E-2</v>
      </c>
      <c r="D117" s="41"/>
      <c r="E117" s="12" vm="343">
        <f ca="1"/>
        <v>46070</v>
      </c>
      <c r="F117" s="12" vm="345">
        <f ca="1"/>
        <v>411.82</v>
      </c>
      <c r="G117" s="14">
        <f t="shared" ca="1" si="7"/>
        <v>-1.346301264852435E-2</v>
      </c>
      <c r="H117" s="47">
        <f>Risk_and_Portfolio_Metrics!$O$49</f>
        <v>1E-3</v>
      </c>
    </row>
    <row r="118" spans="1:8">
      <c r="A118" s="12" vm="346">
        <f ca="1"/>
        <v>46076</v>
      </c>
      <c r="B118" s="12" vm="347">
        <f ca="1"/>
        <v>210</v>
      </c>
      <c r="C118" s="14">
        <f t="shared" ca="1" si="6"/>
        <v>-5.235352910380926E-4</v>
      </c>
      <c r="D118" s="41"/>
      <c r="E118" s="12" vm="346">
        <f ca="1"/>
        <v>46076</v>
      </c>
      <c r="F118" s="12" vm="348">
        <f ca="1"/>
        <v>402.51</v>
      </c>
      <c r="G118" s="14">
        <f t="shared" ca="1" si="7"/>
        <v>-2.260696420766355E-2</v>
      </c>
      <c r="H118" s="47">
        <f>Risk_and_Portfolio_Metrics!$O$49</f>
        <v>1E-3</v>
      </c>
    </row>
    <row r="119" spans="1:8">
      <c r="A119" s="12" vm="349">
        <f ca="1"/>
        <v>46083</v>
      </c>
      <c r="B119" s="12" vm="350">
        <f ca="1"/>
        <v>213.21</v>
      </c>
      <c r="C119" s="14">
        <f t="shared" ca="1" si="6"/>
        <v>1.5285714285714324E-2</v>
      </c>
      <c r="D119" s="41"/>
      <c r="E119" s="12" vm="349">
        <f ca="1"/>
        <v>46083</v>
      </c>
      <c r="F119" s="12" vm="351">
        <f ca="1"/>
        <v>396.73</v>
      </c>
      <c r="G119" s="14">
        <f t="shared" ca="1" si="7"/>
        <v>-1.4359891679709753E-2</v>
      </c>
      <c r="H119" s="47">
        <f>Risk_and_Portfolio_Metrics!$O$49</f>
        <v>1E-3</v>
      </c>
    </row>
    <row r="120" spans="1:8">
      <c r="A120" s="12" vm="352">
        <f ca="1"/>
        <v>46090</v>
      </c>
      <c r="B120" s="12" vm="105">
        <f ca="1"/>
        <v>207.67</v>
      </c>
      <c r="C120" s="14">
        <f t="shared" ca="1" si="6"/>
        <v>-2.5983771868111346E-2</v>
      </c>
      <c r="D120" s="41"/>
      <c r="E120" s="12" vm="352">
        <f ca="1"/>
        <v>46090</v>
      </c>
      <c r="F120" s="12" vm="353">
        <f ca="1"/>
        <v>391.2</v>
      </c>
      <c r="G120" s="14">
        <f t="shared" ca="1" si="7"/>
        <v>-1.3938950923802157E-2</v>
      </c>
      <c r="H120" s="47">
        <f>Risk_and_Portfolio_Metrics!$O$49</f>
        <v>1E-3</v>
      </c>
    </row>
    <row r="121" spans="1:8">
      <c r="A121" s="12" vm="354">
        <f ca="1"/>
        <v>46097</v>
      </c>
      <c r="B121" s="12" vm="355">
        <f ca="1"/>
        <v>205.37</v>
      </c>
      <c r="C121" s="14">
        <f t="shared" ca="1" si="6"/>
        <v>-1.1075263639427856E-2</v>
      </c>
      <c r="D121" s="41"/>
      <c r="E121" s="12" vm="354">
        <f ca="1"/>
        <v>46097</v>
      </c>
      <c r="F121" s="12" vm="356">
        <f ca="1"/>
        <v>367.96</v>
      </c>
      <c r="G121" s="14">
        <f t="shared" ca="1" si="7"/>
        <v>-5.9406952965235196E-2</v>
      </c>
      <c r="H121" s="47">
        <f>Risk_and_Portfolio_Metrics!$O$49</f>
        <v>1E-3</v>
      </c>
    </row>
    <row r="122" spans="1:8">
      <c r="A122" s="12" vm="357">
        <f ca="1"/>
        <v>46104</v>
      </c>
      <c r="B122" s="12" vm="358">
        <f ca="1"/>
        <v>199.34</v>
      </c>
      <c r="C122" s="14">
        <f t="shared" ca="1" si="6"/>
        <v>-2.9361639966889036E-2</v>
      </c>
      <c r="D122" s="41"/>
      <c r="E122" s="12" vm="357">
        <f ca="1"/>
        <v>46104</v>
      </c>
      <c r="F122" s="12" vm="359">
        <f ca="1"/>
        <v>361.83</v>
      </c>
      <c r="G122" s="14">
        <f t="shared" ca="1" si="7"/>
        <v>-1.6659419502119785E-2</v>
      </c>
      <c r="H122" s="47">
        <f>Risk_and_Portfolio_Metrics!$O$49</f>
        <v>1E-3</v>
      </c>
    </row>
    <row r="123" spans="1:8">
      <c r="A123" s="12" vm="360">
        <f ca="1"/>
        <v>46111</v>
      </c>
      <c r="B123" s="12" vm="361">
        <f ca="1"/>
        <v>209.77</v>
      </c>
      <c r="C123" s="14">
        <f t="shared" ca="1" si="6"/>
        <v>5.232266479381964E-2</v>
      </c>
      <c r="D123" s="41"/>
      <c r="E123" s="12" vm="360">
        <f ca="1"/>
        <v>46111</v>
      </c>
      <c r="F123" s="12" vm="362">
        <f ca="1"/>
        <v>360.59</v>
      </c>
      <c r="G123" s="14">
        <f t="shared" ca="1" si="7"/>
        <v>-3.4270237404306144E-3</v>
      </c>
      <c r="H123" s="47">
        <f>Risk_and_Portfolio_Metrics!$O$49</f>
        <v>1E-3</v>
      </c>
    </row>
    <row r="124" spans="1:8">
      <c r="A124" s="12" vm="363">
        <f ca="1"/>
        <v>46118</v>
      </c>
      <c r="B124" s="12" vm="364">
        <f ca="1"/>
        <v>238.38</v>
      </c>
      <c r="C124" s="14">
        <f t="shared" ca="1" si="6"/>
        <v>0.13638747199313525</v>
      </c>
      <c r="D124" s="41"/>
      <c r="E124" s="12" vm="363">
        <f ca="1"/>
        <v>46118</v>
      </c>
      <c r="F124" s="12" vm="365">
        <f ca="1"/>
        <v>348.95</v>
      </c>
      <c r="G124" s="14">
        <f t="shared" ca="1" si="7"/>
        <v>-3.2280429296430817E-2</v>
      </c>
      <c r="H124" s="47">
        <f>Risk_and_Portfolio_Metrics!$O$49</f>
        <v>1E-3</v>
      </c>
    </row>
    <row r="125" spans="1:8">
      <c r="A125" s="12" vm="366">
        <f ca="1"/>
        <v>46125</v>
      </c>
      <c r="B125" s="12" vm="367">
        <f ca="1"/>
        <v>250.56</v>
      </c>
      <c r="C125" s="14">
        <f t="shared" ca="1" si="6"/>
        <v>5.1094890510948933E-2</v>
      </c>
      <c r="D125" s="41"/>
      <c r="E125" s="12" vm="366">
        <f ca="1"/>
        <v>46125</v>
      </c>
      <c r="F125" s="12" vm="368">
        <f ca="1"/>
        <v>400.62</v>
      </c>
      <c r="G125" s="14">
        <f t="shared" ca="1" si="7"/>
        <v>0.14807278979796537</v>
      </c>
      <c r="H125" s="47">
        <f>Risk_and_Portfolio_Metrics!$O$49</f>
        <v>1E-3</v>
      </c>
    </row>
    <row r="126" spans="1:8">
      <c r="A126" s="12" vm="369">
        <f ca="1"/>
        <v>46132</v>
      </c>
      <c r="B126" s="12" vm="370">
        <f ca="1"/>
        <v>263.99</v>
      </c>
      <c r="C126" s="14">
        <f t="shared" ca="1" si="6"/>
        <v>5.3599936143039616E-2</v>
      </c>
      <c r="D126" s="41"/>
      <c r="E126" s="12" vm="369">
        <f ca="1"/>
        <v>46132</v>
      </c>
      <c r="F126" s="12" vm="371">
        <f ca="1"/>
        <v>376.3</v>
      </c>
      <c r="G126" s="14">
        <f t="shared" ca="1" si="7"/>
        <v>-6.0705905845938775E-2</v>
      </c>
      <c r="H126" s="47">
        <f>Risk_and_Portfolio_Metrics!$O$49</f>
        <v>1E-3</v>
      </c>
    </row>
    <row r="127" spans="1:8">
      <c r="A127" s="12" vm="372">
        <f ca="1"/>
        <v>46139</v>
      </c>
      <c r="B127" s="12" vm="373">
        <f ca="1"/>
        <v>268.26</v>
      </c>
      <c r="C127" s="14">
        <f t="shared" ca="1" si="6"/>
        <v>1.6174855108147968E-2</v>
      </c>
      <c r="D127" s="41"/>
      <c r="E127" s="12" vm="372">
        <f ca="1"/>
        <v>46139</v>
      </c>
      <c r="F127" s="12" vm="374">
        <f ca="1"/>
        <v>390.82</v>
      </c>
      <c r="G127" s="14">
        <f t="shared" ca="1" si="7"/>
        <v>3.8586234387456765E-2</v>
      </c>
      <c r="H127" s="47">
        <f>Risk_and_Portfolio_Metrics!$O$49</f>
        <v>1E-3</v>
      </c>
    </row>
    <row r="128" spans="1:8">
      <c r="A128" s="12" vm="375">
        <f ca="1"/>
        <v>46146</v>
      </c>
      <c r="B128" s="12" vm="376">
        <f ca="1"/>
        <v>272.68</v>
      </c>
      <c r="C128" s="14">
        <f t="shared" ca="1" si="6"/>
        <v>1.6476552598225662E-2</v>
      </c>
      <c r="D128" s="41"/>
      <c r="E128" s="12" vm="375">
        <f ca="1"/>
        <v>46146</v>
      </c>
      <c r="F128" s="12" vm="377">
        <f ca="1"/>
        <v>428.35</v>
      </c>
      <c r="G128" s="14">
        <f t="shared" ca="1" si="7"/>
        <v>9.6028862391894038E-2</v>
      </c>
      <c r="H128" s="47">
        <f>Risk_and_Portfolio_Metrics!$O$49</f>
        <v>1E-3</v>
      </c>
    </row>
    <row r="129" spans="1:8">
      <c r="A129" s="12" vm="378">
        <f ca="1"/>
        <v>46153</v>
      </c>
      <c r="B129" s="12" vm="379">
        <f ca="1"/>
        <v>264.14</v>
      </c>
      <c r="C129" s="14">
        <f t="shared" ca="1" si="6"/>
        <v>-3.1318761918732653E-2</v>
      </c>
      <c r="D129" s="41"/>
      <c r="E129" s="12" vm="378">
        <f ca="1"/>
        <v>46153</v>
      </c>
      <c r="F129" s="12" vm="380">
        <f ca="1"/>
        <v>422.24</v>
      </c>
      <c r="G129" s="14">
        <f t="shared" ca="1" si="7"/>
        <v>-1.426403641881642E-2</v>
      </c>
      <c r="H129" s="47">
        <f>Risk_and_Portfolio_Metrics!$O$49</f>
        <v>1E-3</v>
      </c>
    </row>
    <row r="130" spans="1:8">
      <c r="A130" s="12" vm="381">
        <f ca="1"/>
        <v>46160</v>
      </c>
      <c r="B130" s="12" vm="382">
        <f ca="1"/>
        <v>266.32</v>
      </c>
      <c r="C130" s="14">
        <f t="shared" ca="1" si="6"/>
        <v>8.2531990611039857E-3</v>
      </c>
      <c r="D130" s="41"/>
      <c r="E130" s="12" vm="381">
        <f ca="1"/>
        <v>46160</v>
      </c>
      <c r="F130" s="12" vm="383">
        <f ca="1"/>
        <v>426.01</v>
      </c>
      <c r="G130" s="14">
        <f t="shared" ca="1" si="7"/>
        <v>8.9285714285713847E-3</v>
      </c>
      <c r="H130" s="47">
        <f>Risk_and_Portfolio_Metrics!$O$49</f>
        <v>1E-3</v>
      </c>
    </row>
    <row r="131" spans="1:8">
      <c r="A131" s="12" vm="384">
        <f ca="1"/>
        <v>46168</v>
      </c>
      <c r="B131" s="12" vm="385">
        <f ca="1"/>
        <v>270.64</v>
      </c>
      <c r="C131" s="14">
        <f t="shared" ca="1" si="6"/>
        <v>1.6221087413637703E-2</v>
      </c>
      <c r="D131" s="41"/>
      <c r="E131" s="12" vm="384">
        <f ca="1"/>
        <v>46168</v>
      </c>
      <c r="F131" s="12" vm="386">
        <f ca="1"/>
        <v>435.79</v>
      </c>
      <c r="G131" s="14">
        <f t="shared" ca="1" si="7"/>
        <v>2.2957207577286989E-2</v>
      </c>
      <c r="H131" s="47">
        <f>Risk_and_Portfolio_Metrics!$O$49</f>
        <v>1E-3</v>
      </c>
    </row>
    <row r="132" spans="1:8">
      <c r="A132" s="12" vm="387">
        <f ca="1"/>
        <v>46174</v>
      </c>
      <c r="B132" s="12" vm="388">
        <f ca="1"/>
        <v>246.03</v>
      </c>
      <c r="C132" s="14">
        <f t="shared" ref="C132:C152" ca="1" si="8">(B132-B131)/B131</f>
        <v>-9.0932604197457828E-2</v>
      </c>
      <c r="D132" s="41"/>
      <c r="E132" s="12" vm="387">
        <f ca="1"/>
        <v>46174</v>
      </c>
      <c r="F132" s="12" vm="389">
        <f ca="1"/>
        <v>391</v>
      </c>
      <c r="G132" s="14">
        <f t="shared" ref="G132:G152" ca="1" si="9">(F132-F131)/F131</f>
        <v>-0.10277886137818679</v>
      </c>
      <c r="H132" s="47">
        <f>Risk_and_Portfolio_Metrics!$O$49</f>
        <v>1E-3</v>
      </c>
    </row>
    <row r="133" spans="1:8">
      <c r="A133" s="12" vm="390">
        <f ca="1"/>
        <v>46181</v>
      </c>
      <c r="B133" s="12" vm="391">
        <f ca="1"/>
        <v>238.55</v>
      </c>
      <c r="C133" s="14">
        <f t="shared" ca="1" si="8"/>
        <v>-3.0402796406942201E-2</v>
      </c>
      <c r="D133" s="41"/>
      <c r="E133" s="12" vm="390">
        <f ca="1"/>
        <v>46181</v>
      </c>
      <c r="F133" s="12" vm="392">
        <f ca="1"/>
        <v>406.43</v>
      </c>
      <c r="G133" s="14">
        <f t="shared" ca="1" si="9"/>
        <v>3.9462915601023038E-2</v>
      </c>
      <c r="H133" s="47">
        <f>Risk_and_Portfolio_Metrics!$O$49</f>
        <v>1E-3</v>
      </c>
    </row>
    <row r="134" spans="1:8">
      <c r="A134" s="12" vm="393">
        <f ca="1"/>
        <v>46188</v>
      </c>
      <c r="B134" s="12" vm="394">
        <f ca="1"/>
        <v>244.39</v>
      </c>
      <c r="C134" s="14">
        <f t="shared" ca="1" si="8"/>
        <v>2.4481240830014565E-2</v>
      </c>
      <c r="D134" s="41"/>
      <c r="E134" s="12" vm="393">
        <f ca="1"/>
        <v>46188</v>
      </c>
      <c r="F134" s="12" vm="395">
        <f ca="1"/>
        <v>400.49</v>
      </c>
      <c r="G134" s="14">
        <f t="shared" ca="1" si="9"/>
        <v>-1.4615062864453897E-2</v>
      </c>
      <c r="H134" s="47">
        <f>Risk_and_Portfolio_Metrics!$O$49</f>
        <v>1E-3</v>
      </c>
    </row>
    <row r="135" spans="1:8">
      <c r="A135" s="12" vm="396">
        <f ca="1"/>
        <v>46195</v>
      </c>
      <c r="B135" s="12" vm="397">
        <f ca="1"/>
        <v>232.69</v>
      </c>
      <c r="C135" s="14">
        <f t="shared" ca="1" si="8"/>
        <v>-4.7874299275747739E-2</v>
      </c>
      <c r="D135" s="41"/>
      <c r="E135" s="12" vm="396">
        <f ca="1"/>
        <v>46195</v>
      </c>
      <c r="F135" s="12" vm="398">
        <f ca="1"/>
        <v>379.71</v>
      </c>
      <c r="G135" s="14">
        <f t="shared" ca="1" si="9"/>
        <v>-5.1886439112087762E-2</v>
      </c>
      <c r="H135" s="47">
        <f>Risk_and_Portfolio_Metrics!$O$49</f>
        <v>1E-3</v>
      </c>
    </row>
    <row r="136" spans="1:8">
      <c r="A136" s="12" vm="399">
        <f ca="1"/>
        <v>46202</v>
      </c>
      <c r="B136" s="12" vm="400">
        <f ca="1"/>
        <v>242.67</v>
      </c>
      <c r="C136" s="14">
        <f t="shared" ca="1" si="8"/>
        <v>4.288968155056079E-2</v>
      </c>
      <c r="D136" s="41"/>
      <c r="E136" s="12" vm="399">
        <f ca="1"/>
        <v>46202</v>
      </c>
      <c r="F136" s="12" vm="401">
        <f ca="1"/>
        <v>393.45</v>
      </c>
      <c r="G136" s="14">
        <f t="shared" ca="1" si="9"/>
        <v>3.6185509994469491E-2</v>
      </c>
      <c r="H136" s="47">
        <f>Risk_and_Portfolio_Metrics!$O$49</f>
        <v>1E-3</v>
      </c>
    </row>
    <row r="137" spans="1:8">
      <c r="A137" s="12" vm="402">
        <f ca="1"/>
        <v>46209</v>
      </c>
      <c r="B137" s="12" vm="403">
        <f ca="1"/>
        <v>245.34</v>
      </c>
      <c r="C137" s="14">
        <f t="shared" ca="1" si="8"/>
        <v>1.1002596118185257E-2</v>
      </c>
      <c r="D137" s="41"/>
      <c r="E137" s="12" vm="402">
        <f ca="1"/>
        <v>46209</v>
      </c>
      <c r="F137" s="12" vm="404">
        <f ca="1"/>
        <v>407.76</v>
      </c>
      <c r="G137" s="14">
        <f t="shared" ca="1" si="9"/>
        <v>3.6370568051849038E-2</v>
      </c>
      <c r="H137" s="47">
        <f>Risk_and_Portfolio_Metrics!$O$49</f>
        <v>1E-3</v>
      </c>
    </row>
    <row r="138" spans="1:8">
      <c r="A138" s="12" vm="405">
        <f ca="1"/>
        <v>46216</v>
      </c>
      <c r="B138" s="12" vm="406">
        <f ca="1"/>
        <v>247.23</v>
      </c>
      <c r="C138" s="14">
        <f t="shared" ca="1" si="8"/>
        <v>7.7035950110050802E-3</v>
      </c>
      <c r="D138" s="41"/>
      <c r="E138" s="12" vm="405">
        <f ca="1"/>
        <v>46216</v>
      </c>
      <c r="F138" s="12" vm="407">
        <f ca="1"/>
        <v>380.84</v>
      </c>
      <c r="G138" s="14">
        <f t="shared" ca="1" si="9"/>
        <v>-6.6019226996272357E-2</v>
      </c>
      <c r="H138" s="47">
        <f>Risk_and_Portfolio_Metrics!$O$49</f>
        <v>1E-3</v>
      </c>
    </row>
    <row r="139" spans="1:8">
      <c r="A139" s="12" vm="408">
        <f ca="1"/>
        <v>46223</v>
      </c>
      <c r="B139" s="12" vm="409">
        <f ca="1"/>
        <v>232.11</v>
      </c>
      <c r="C139" s="14">
        <f t="shared" ca="1" si="8"/>
        <v>-6.1157626501638057E-2</v>
      </c>
      <c r="D139" s="41"/>
      <c r="E139" s="12" vm="408">
        <f ca="1"/>
        <v>46223</v>
      </c>
      <c r="F139" s="12" vm="410">
        <f ca="1"/>
        <v>313.02999999999997</v>
      </c>
      <c r="G139" s="14">
        <f t="shared" ca="1" si="9"/>
        <v>-0.17805377586387985</v>
      </c>
      <c r="H139" s="47">
        <f>Risk_and_Portfolio_Metrics!$O$49</f>
        <v>1E-3</v>
      </c>
    </row>
    <row r="140" spans="1:8">
      <c r="A140" s="12" vm="411">
        <f ca="1"/>
        <v>46230</v>
      </c>
      <c r="B140" s="12" vm="412">
        <f ca="1"/>
        <v>271.58</v>
      </c>
      <c r="C140" s="14">
        <f t="shared" ca="1" si="8"/>
        <v>0.17004868381370888</v>
      </c>
      <c r="D140" s="41"/>
      <c r="E140" s="12" vm="411">
        <f ca="1"/>
        <v>46230</v>
      </c>
      <c r="F140" s="12" vm="413">
        <f ca="1"/>
        <v>311.20999999999998</v>
      </c>
      <c r="G140" s="14">
        <f t="shared" ca="1" si="9"/>
        <v>-5.8141392198830574E-3</v>
      </c>
      <c r="H140" s="47">
        <f>Risk_and_Portfolio_Metrics!$O$49</f>
        <v>1E-3</v>
      </c>
    </row>
    <row r="141" spans="1:8">
      <c r="A141" s="12" vm="414">
        <f ca="1"/>
        <v>46237</v>
      </c>
      <c r="B141" s="12" vm="415">
        <f ca="1"/>
        <v>274.48</v>
      </c>
      <c r="C141" s="14">
        <f t="shared" ca="1" si="8"/>
        <v>1.06782531850653E-2</v>
      </c>
      <c r="D141" s="41"/>
      <c r="E141" s="12" vm="414">
        <f ca="1"/>
        <v>46237</v>
      </c>
      <c r="F141" s="12" vm="416">
        <f ca="1"/>
        <v>328.58</v>
      </c>
      <c r="G141" s="14">
        <f t="shared" ca="1" si="9"/>
        <v>5.5814401850840287E-2</v>
      </c>
      <c r="H141" s="47">
        <f>Risk_and_Portfolio_Metrics!$O$49</f>
        <v>1E-3</v>
      </c>
    </row>
    <row r="142" spans="1:8">
      <c r="A142" s="12" vm="417">
        <f ca="1"/>
        <v>46244</v>
      </c>
      <c r="B142" s="12" vm="418">
        <f ca="1"/>
        <v>262.64999999999998</v>
      </c>
      <c r="C142" s="14">
        <f t="shared" ca="1" si="8"/>
        <v>-4.3099679393762899E-2</v>
      </c>
      <c r="D142" s="41"/>
      <c r="E142" s="12" vm="417">
        <f ca="1"/>
        <v>46244</v>
      </c>
      <c r="F142" s="12" vm="419">
        <f ca="1"/>
        <v>342.27</v>
      </c>
      <c r="G142" s="14">
        <f t="shared" ca="1" si="9"/>
        <v>4.1664130500943447E-2</v>
      </c>
      <c r="H142" s="47">
        <f>Risk_and_Portfolio_Metrics!$O$49</f>
        <v>1E-3</v>
      </c>
    </row>
    <row r="143" spans="1:8">
      <c r="A143" s="12" vm="420">
        <f ca="1"/>
        <v>46251</v>
      </c>
      <c r="B143" s="12" vm="421">
        <f ca="1"/>
        <v>258.63</v>
      </c>
      <c r="C143" s="14">
        <f t="shared" ca="1" si="8"/>
        <v>-1.530553969160473E-2</v>
      </c>
      <c r="D143" s="41"/>
      <c r="E143" s="12" vm="420">
        <f ca="1"/>
        <v>46251</v>
      </c>
      <c r="F143" s="12" vm="422">
        <f ca="1"/>
        <v>362.86</v>
      </c>
      <c r="G143" s="14">
        <f t="shared" ca="1" si="9"/>
        <v>6.0157185847430489E-2</v>
      </c>
      <c r="H143" s="47">
        <f>Risk_and_Portfolio_Metrics!$O$49</f>
        <v>1E-3</v>
      </c>
    </row>
    <row r="144" spans="1:8">
      <c r="A144" s="12" vm="423">
        <f ca="1"/>
        <v>46258</v>
      </c>
      <c r="B144" s="12" vm="424">
        <f ca="1"/>
        <v>266.43</v>
      </c>
      <c r="C144" s="14">
        <f t="shared" ca="1" si="8"/>
        <v>3.0158914279085996E-2</v>
      </c>
      <c r="D144" s="41"/>
      <c r="E144" s="12" vm="423">
        <f ca="1"/>
        <v>46258</v>
      </c>
      <c r="F144" s="12" vm="425">
        <f ca="1"/>
        <v>348.75</v>
      </c>
      <c r="G144" s="14">
        <f t="shared" ca="1" si="9"/>
        <v>-3.8885520586452109E-2</v>
      </c>
      <c r="H144" s="47">
        <f>Risk_and_Portfolio_Metrics!$O$49</f>
        <v>1E-3</v>
      </c>
    </row>
    <row r="145" spans="1:8">
      <c r="A145" s="12" vm="426">
        <f ca="1"/>
        <v>46265</v>
      </c>
      <c r="B145" s="12" vm="427">
        <f ca="1"/>
        <v>258.51</v>
      </c>
      <c r="C145" s="14">
        <f t="shared" ca="1" si="8"/>
        <v>-2.9726382164170759E-2</v>
      </c>
      <c r="D145" s="41"/>
      <c r="E145" s="12" vm="426">
        <f ca="1"/>
        <v>46265</v>
      </c>
      <c r="F145" s="12" vm="428">
        <f ca="1"/>
        <v>354.08</v>
      </c>
      <c r="G145" s="14">
        <f t="shared" ca="1" si="9"/>
        <v>1.5283154121863754E-2</v>
      </c>
      <c r="H145" s="47">
        <f>Risk_and_Portfolio_Metrics!$O$49</f>
        <v>1E-3</v>
      </c>
    </row>
    <row r="146" spans="1:8">
      <c r="A146" s="12" vm="429">
        <f ca="1"/>
        <v>46273</v>
      </c>
      <c r="B146" s="12" vm="430">
        <f ca="1"/>
        <v>256.77999999999997</v>
      </c>
      <c r="C146" s="14">
        <f t="shared" ca="1" si="8"/>
        <v>-6.6921975939035943E-3</v>
      </c>
      <c r="D146" s="41"/>
      <c r="E146" s="12" vm="429">
        <f ca="1"/>
        <v>46273</v>
      </c>
      <c r="F146" s="12" vm="431">
        <f ca="1"/>
        <v>365.44</v>
      </c>
      <c r="G146" s="14">
        <f t="shared" ca="1" si="9"/>
        <v>3.2083145051965696E-2</v>
      </c>
      <c r="H146" s="47">
        <f>Risk_and_Portfolio_Metrics!$O$49</f>
        <v>1E-3</v>
      </c>
    </row>
    <row r="147" spans="1:8">
      <c r="A147" s="12" vm="432">
        <f ca="1"/>
        <v>46279</v>
      </c>
      <c r="B147" s="12" vm="433">
        <f ca="1"/>
        <v>253.71</v>
      </c>
      <c r="C147" s="14">
        <f t="shared" ca="1" si="8"/>
        <v>-1.1955759794376374E-2</v>
      </c>
      <c r="D147" s="41"/>
      <c r="E147" s="12" vm="432">
        <f ca="1"/>
        <v>46279</v>
      </c>
      <c r="F147" s="12" vm="434">
        <f ca="1"/>
        <v>364.27</v>
      </c>
      <c r="G147" s="14">
        <f t="shared" ca="1" si="9"/>
        <v>-3.2016199649737738E-3</v>
      </c>
      <c r="H147" s="47">
        <f>Risk_and_Portfolio_Metrics!$O$49</f>
        <v>1E-3</v>
      </c>
    </row>
    <row r="148" spans="1:8">
      <c r="A148" s="12" vm="435">
        <f ca="1"/>
        <v>46286</v>
      </c>
      <c r="B148" s="12" vm="436">
        <f ca="1"/>
        <v>249.67</v>
      </c>
      <c r="C148" s="14">
        <f t="shared" ca="1" si="8"/>
        <v>-1.5923692404714123E-2</v>
      </c>
      <c r="D148" s="41"/>
      <c r="E148" s="12" vm="435">
        <f ca="1"/>
        <v>46286</v>
      </c>
      <c r="F148" s="12" vm="437">
        <f ca="1"/>
        <v>372.11</v>
      </c>
      <c r="G148" s="14">
        <f t="shared" ca="1" si="9"/>
        <v>2.1522497048892395E-2</v>
      </c>
      <c r="H148" s="47">
        <f>Risk_and_Portfolio_Metrics!$O$49</f>
        <v>1E-3</v>
      </c>
    </row>
    <row r="149" spans="1:8">
      <c r="A149" s="12" vm="438">
        <f ca="1"/>
        <v>46293</v>
      </c>
      <c r="B149" s="12" vm="93">
        <f ca="1"/>
        <v>251.52</v>
      </c>
      <c r="C149" s="14">
        <f t="shared" ca="1" si="8"/>
        <v>7.4097809108023506E-3</v>
      </c>
      <c r="D149" s="41"/>
      <c r="E149" s="12" vm="438">
        <f ca="1"/>
        <v>46293</v>
      </c>
      <c r="F149" s="12" vm="439">
        <f ca="1"/>
        <v>370.59</v>
      </c>
      <c r="G149" s="14">
        <f t="shared" ca="1" si="9"/>
        <v>-4.084813630378218E-3</v>
      </c>
      <c r="H149" s="47">
        <f>Risk_and_Portfolio_Metrics!$O$49</f>
        <v>1E-3</v>
      </c>
    </row>
    <row r="150" spans="1:8">
      <c r="A150" s="12" vm="440">
        <f ca="1"/>
        <v>46300</v>
      </c>
      <c r="B150" s="12" vm="441">
        <f ca="1"/>
        <v>262.43</v>
      </c>
      <c r="C150" s="14">
        <f t="shared" ca="1" si="8"/>
        <v>4.3376272264631026E-2</v>
      </c>
      <c r="D150" s="41"/>
      <c r="E150" s="12" vm="440">
        <f ca="1"/>
        <v>46300</v>
      </c>
      <c r="F150" s="12" vm="442">
        <f ca="1"/>
        <v>382.7</v>
      </c>
      <c r="G150" s="14">
        <f t="shared" ca="1" si="9"/>
        <v>3.2677622170053197E-2</v>
      </c>
      <c r="H150" s="47">
        <f>Risk_and_Portfolio_Metrics!$O$49</f>
        <v>1E-3</v>
      </c>
    </row>
    <row r="151" spans="1:8">
      <c r="A151" s="12" vm="443">
        <f ca="1"/>
        <v>46307</v>
      </c>
      <c r="B151" s="12" vm="444">
        <f ca="1"/>
        <v>250</v>
      </c>
      <c r="C151" s="14">
        <f t="shared" ca="1" si="8"/>
        <v>-4.7365011622146881E-2</v>
      </c>
      <c r="D151" s="41"/>
      <c r="E151" s="12" vm="443">
        <f ca="1"/>
        <v>46307</v>
      </c>
      <c r="F151" s="12" vm="445">
        <f ca="1"/>
        <v>354.72</v>
      </c>
      <c r="G151" s="14">
        <f t="shared" ca="1" si="9"/>
        <v>-7.3112098249281318E-2</v>
      </c>
      <c r="H151" s="47">
        <f>Risk_and_Portfolio_Metrics!$O$49</f>
        <v>1E-3</v>
      </c>
    </row>
    <row r="152" spans="1:8">
      <c r="A152" s="12"/>
      <c r="B152" s="12"/>
      <c r="C152" s="14">
        <f t="shared" ca="1" si="8"/>
        <v>-1</v>
      </c>
      <c r="D152" s="41"/>
      <c r="E152" s="12"/>
      <c r="F152" s="12"/>
      <c r="G152" s="14">
        <f t="shared" ca="1" si="9"/>
        <v>-1</v>
      </c>
      <c r="H152" s="47">
        <f>Risk_and_Portfolio_Metrics!$O$49</f>
        <v>1E-3</v>
      </c>
    </row>
    <row r="153" spans="1:8">
      <c r="H153" s="47"/>
    </row>
  </sheetData>
  <mergeCells count="3">
    <mergeCell ref="I16:K16"/>
    <mergeCell ref="M16:O16"/>
    <mergeCell ref="I11:N1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0B59D-6076-4AB7-8E19-7A838E790EAD}">
  <dimension ref="A1:P233"/>
  <sheetViews>
    <sheetView workbookViewId="0">
      <selection activeCell="I8" sqref="I8"/>
    </sheetView>
  </sheetViews>
  <sheetFormatPr defaultRowHeight="15"/>
  <cols>
    <col min="3" max="3" width="21.85546875" customWidth="1"/>
    <col min="4" max="4" width="19.5703125" customWidth="1"/>
    <col min="5" max="5" width="40" customWidth="1"/>
    <col min="6" max="6" width="52.85546875" customWidth="1"/>
    <col min="7" max="7" width="53.5703125" customWidth="1"/>
    <col min="8" max="8" width="16.85546875" customWidth="1"/>
    <col min="9" max="9" width="15.7109375" customWidth="1"/>
    <col min="10" max="10" width="18.85546875" customWidth="1"/>
    <col min="11" max="11" width="19.7109375" customWidth="1"/>
    <col min="13" max="13" width="15.28515625" customWidth="1"/>
    <col min="14" max="14" width="12.42578125" customWidth="1"/>
    <col min="15" max="15" width="18.140625" customWidth="1"/>
    <col min="16" max="16" width="18" customWidth="1"/>
  </cols>
  <sheetData>
    <row r="1" spans="1:14" ht="16.5" thickTop="1" thickBot="1">
      <c r="A1" s="12" t="s">
        <v>16</v>
      </c>
      <c r="B1" s="25" t="s">
        <v>40</v>
      </c>
      <c r="C1" s="12" t="s">
        <v>17</v>
      </c>
      <c r="D1" s="12" t="s">
        <v>7</v>
      </c>
      <c r="E1" s="30" t="s">
        <v>41</v>
      </c>
      <c r="F1" s="31" t="s">
        <v>42</v>
      </c>
      <c r="G1" s="31" t="s">
        <v>43</v>
      </c>
      <c r="H1" s="13" t="str">
        <f>WEEKLY_RETURNS!I1</f>
        <v>AMZN</v>
      </c>
      <c r="I1" s="12"/>
      <c r="L1" s="12" t="str">
        <f>WEEKLY_RETURNS!M1</f>
        <v>TSLA</v>
      </c>
      <c r="M1" s="12"/>
    </row>
    <row r="2" spans="1:14" ht="15.75" thickTop="1">
      <c r="A2" s="24">
        <v>-0.95</v>
      </c>
      <c r="B2" s="26">
        <f>100%-A2</f>
        <v>1.95</v>
      </c>
      <c r="C2" s="12">
        <f ca="1">A2*$I$2 + B2*$M$2</f>
        <v>-9.0359119340863202E-4</v>
      </c>
      <c r="D2" s="12">
        <f ca="1">SQRT((A2^2)*($I$3^2) + (B2^2)*($M$3^2) + 2*A2*B2*$I$3*$M$3*$N$9)</f>
        <v>0.15810729534561421</v>
      </c>
      <c r="E2" s="28">
        <f ca="1">C2/D2</f>
        <v>-5.7150506017665361E-3</v>
      </c>
      <c r="F2" s="29">
        <f ca="1">(C2-$N$10)/D2</f>
        <v>-1.2043032903413933E-2</v>
      </c>
      <c r="G2" s="29">
        <f ca="1">(C2-$N$11)/D2</f>
        <v>-8.8782507548183232E-3</v>
      </c>
      <c r="H2" s="13" t="str">
        <f>WEEKLY_RETURNS!I2</f>
        <v>Average</v>
      </c>
      <c r="I2" s="12">
        <f ca="1">WEEKLY_RETURNS!J2</f>
        <v>-2.2276395471952631E-3</v>
      </c>
      <c r="L2" s="12" t="str">
        <f>WEEKLY_RETURNS!M2</f>
        <v>Average</v>
      </c>
      <c r="M2" s="12">
        <f ca="1">WEEKLY_RETURNS!N2</f>
        <v>-1.5486403914072471E-3</v>
      </c>
    </row>
    <row r="3" spans="1:14">
      <c r="A3" s="14">
        <f>A2+5%</f>
        <v>-0.89999999999999991</v>
      </c>
      <c r="B3" s="26">
        <f t="shared" ref="B3:B66" si="0">100%-A3</f>
        <v>1.9</v>
      </c>
      <c r="C3" s="12">
        <f t="shared" ref="C3:C66" ca="1" si="1">A3*$I$2 + B3*$M$2</f>
        <v>-9.375411511980329E-4</v>
      </c>
      <c r="D3" s="12">
        <f t="shared" ref="D3:D66" ca="1" si="2">SQRT((A3^2)*($I$3^2) + (B3^2)*($M$3^2) + 2*A3*B3*$I$3*$M$3*$N$9)</f>
        <v>0.15522367891489602</v>
      </c>
      <c r="E3" s="28">
        <f ca="1">C3/D3</f>
        <v>-6.0399364178970114E-3</v>
      </c>
      <c r="F3" s="29">
        <f ca="1">(C3-$N$10)/D3</f>
        <v>-1.2485474712714295E-2</v>
      </c>
      <c r="G3" s="29">
        <f ca="1">(C3-$N$11)/D3</f>
        <v>-9.2618998730348897E-3</v>
      </c>
      <c r="H3" s="13" t="str">
        <f>WEEKLY_RETURNS!I3</f>
        <v>Std. Dev</v>
      </c>
      <c r="I3" s="12">
        <f ca="1">WEEKLY_RETURNS!J3</f>
        <v>9.264233241350095E-2</v>
      </c>
      <c r="L3" s="12" t="str">
        <f>WEEKLY_RETURNS!M3</f>
        <v>Std. Dev</v>
      </c>
      <c r="M3" s="12">
        <f ca="1">WEEKLY_RETURNS!N3</f>
        <v>0.11033813370660005</v>
      </c>
    </row>
    <row r="4" spans="1:14">
      <c r="A4" s="14">
        <f>A3+5%</f>
        <v>-0.84999999999999987</v>
      </c>
      <c r="B4" s="26">
        <f t="shared" si="0"/>
        <v>1.8499999999999999</v>
      </c>
      <c r="C4" s="12">
        <f t="shared" ca="1" si="1"/>
        <v>-9.7149110898743377E-4</v>
      </c>
      <c r="D4" s="12">
        <f t="shared" ca="1" si="2"/>
        <v>0.15236884604994275</v>
      </c>
      <c r="E4" s="28">
        <f ca="1">C4/D4</f>
        <v>-6.3759169552875848E-3</v>
      </c>
      <c r="F4" s="29">
        <f ca="1">(C4-$N$10)/D4</f>
        <v>-1.2942220977702019E-2</v>
      </c>
      <c r="G4" s="29">
        <f ca="1">(C4-$N$11)/D4</f>
        <v>-9.6582481785083898E-3</v>
      </c>
      <c r="H4" s="13"/>
      <c r="I4" s="12"/>
      <c r="L4" s="12"/>
      <c r="M4" s="12"/>
    </row>
    <row r="5" spans="1:14">
      <c r="A5" s="14">
        <f t="shared" ref="A5:A68" si="3">A4+5%</f>
        <v>-0.79999999999999982</v>
      </c>
      <c r="B5" s="26">
        <f t="shared" si="0"/>
        <v>1.7999999999999998</v>
      </c>
      <c r="C5" s="12">
        <f t="shared" ca="1" si="1"/>
        <v>-1.0054410667768342E-3</v>
      </c>
      <c r="D5" s="12">
        <f t="shared" ca="1" si="2"/>
        <v>0.14954444521163104</v>
      </c>
      <c r="E5" s="28">
        <f ca="1">C5/D5</f>
        <v>-6.7233595026145081E-3</v>
      </c>
      <c r="F5" s="29">
        <f ca="1">(C5-$N$10)/D5</f>
        <v>-1.3413679328887596E-2</v>
      </c>
      <c r="G5" s="29">
        <f ca="1">(C5-$N$11)/D5</f>
        <v>-1.0067683125789467E-2</v>
      </c>
      <c r="H5" s="13"/>
      <c r="I5" s="12"/>
      <c r="L5" s="12"/>
      <c r="M5" s="12"/>
    </row>
    <row r="6" spans="1:14">
      <c r="A6" s="14">
        <f t="shared" si="3"/>
        <v>-0.74999999999999978</v>
      </c>
      <c r="B6" s="26">
        <f t="shared" si="0"/>
        <v>1.7499999999999998</v>
      </c>
      <c r="C6" s="12">
        <f t="shared" ca="1" si="1"/>
        <v>-1.0393910245662351E-3</v>
      </c>
      <c r="D6" s="12">
        <f t="shared" ca="1" si="2"/>
        <v>0.1467522334994083</v>
      </c>
      <c r="E6" s="28">
        <f ca="1">C6/D6</f>
        <v>-7.0826249098990771E-3</v>
      </c>
      <c r="F6" s="29">
        <f ca="1">(C6-$N$10)/D6</f>
        <v>-1.3900239489594169E-2</v>
      </c>
      <c r="G6" s="29">
        <f ca="1">(C6-$N$11)/D6</f>
        <v>-1.0490579997941177E-2</v>
      </c>
      <c r="H6" s="13"/>
      <c r="I6" s="12"/>
      <c r="L6" s="12"/>
      <c r="M6" s="12"/>
    </row>
    <row r="7" spans="1:14">
      <c r="A7" s="14">
        <f t="shared" si="3"/>
        <v>-0.69999999999999973</v>
      </c>
      <c r="B7" s="26">
        <f t="shared" si="0"/>
        <v>1.6999999999999997</v>
      </c>
      <c r="C7" s="12">
        <f t="shared" ca="1" si="1"/>
        <v>-1.073340982355636E-3</v>
      </c>
      <c r="D7" s="12">
        <f t="shared" ca="1" si="2"/>
        <v>0.14399408347853104</v>
      </c>
      <c r="E7" s="28">
        <f ca="1">C7/D7</f>
        <v>-7.4540630866661052E-3</v>
      </c>
      <c r="F7" s="29">
        <f ca="1">(C7-$N$10)/D7</f>
        <v>-1.4402266391543943E-2</v>
      </c>
      <c r="G7" s="29">
        <f ca="1">(C7-$N$11)/D7</f>
        <v>-1.0927296213709256E-2</v>
      </c>
      <c r="H7" s="13"/>
      <c r="I7" s="12"/>
      <c r="L7" s="12"/>
      <c r="M7" s="12"/>
    </row>
    <row r="8" spans="1:14">
      <c r="A8" s="14">
        <f t="shared" si="3"/>
        <v>-0.64999999999999969</v>
      </c>
      <c r="B8" s="26">
        <f t="shared" si="0"/>
        <v>1.6499999999999997</v>
      </c>
      <c r="C8" s="12">
        <f t="shared" ca="1" si="1"/>
        <v>-1.1072909401450368E-3</v>
      </c>
      <c r="D8" s="12">
        <f t="shared" ca="1" si="2"/>
        <v>0.14127199019241721</v>
      </c>
      <c r="E8" s="28">
        <f ca="1">C8/D8</f>
        <v>-7.8380076520254954E-3</v>
      </c>
      <c r="F8" s="29">
        <f ca="1">(C8-$N$10)/D8</f>
        <v>-1.4920092114385441E-2</v>
      </c>
      <c r="G8" s="29">
        <f ca="1">(C8-$N$11)/D8</f>
        <v>-1.1378164622665349E-2</v>
      </c>
      <c r="H8" s="13" t="str">
        <f>WEEKLY_RETURNS!I8</f>
        <v>VaR</v>
      </c>
      <c r="I8" s="12"/>
      <c r="L8" s="12" t="str">
        <f>WEEKLY_RETURNS!M8</f>
        <v>VaR</v>
      </c>
      <c r="M8" s="12"/>
    </row>
    <row r="9" spans="1:14">
      <c r="A9" s="14">
        <f t="shared" si="3"/>
        <v>-0.59999999999999964</v>
      </c>
      <c r="B9" s="26">
        <f t="shared" si="0"/>
        <v>1.5999999999999996</v>
      </c>
      <c r="C9" s="12">
        <f t="shared" ca="1" si="1"/>
        <v>-1.1412408979344377E-3</v>
      </c>
      <c r="D9" s="12">
        <f t="shared" ca="1" si="2"/>
        <v>0.1385880782945548</v>
      </c>
      <c r="E9" s="28">
        <f ca="1">C9/D9</f>
        <v>-8.2347696279390405E-3</v>
      </c>
      <c r="F9" s="29">
        <f ca="1">(C9-$N$10)/D9</f>
        <v>-1.5454006513394106E-2</v>
      </c>
      <c r="G9" s="29">
        <f ca="1">(C9-$N$11)/D9</f>
        <v>-1.184348566607391E-2</v>
      </c>
      <c r="H9" s="61" t="str">
        <f>WEEKLY_RETURNS!I11</f>
        <v>Correlation of Amazon and Tesla stock weekly rate or returns</v>
      </c>
      <c r="I9" s="61"/>
      <c r="J9" s="61"/>
      <c r="K9" s="61"/>
      <c r="L9" s="61"/>
      <c r="M9" s="61"/>
      <c r="N9">
        <f ca="1">WEEKLY_RETURNS!O11</f>
        <v>0.76682223380627013</v>
      </c>
    </row>
    <row r="10" spans="1:14">
      <c r="A10" s="14">
        <f t="shared" si="3"/>
        <v>-0.5499999999999996</v>
      </c>
      <c r="B10" s="26">
        <f t="shared" si="0"/>
        <v>1.5499999999999996</v>
      </c>
      <c r="C10" s="12">
        <f t="shared" ca="1" si="1"/>
        <v>-1.1751908557238388E-3</v>
      </c>
      <c r="D10" s="12">
        <f t="shared" ca="1" si="2"/>
        <v>0.13594460921336987</v>
      </c>
      <c r="E10" s="28">
        <f ca="1">C10/D10</f>
        <v>-8.6446300631114782E-3</v>
      </c>
      <c r="F10" s="29">
        <f ca="1">(C10-$N$10)/D10</f>
        <v>-1.600424639874759E-2</v>
      </c>
      <c r="G10" s="29">
        <f ca="1">(C10-$N$11)/D10</f>
        <v>-1.2323518278905949E-2</v>
      </c>
      <c r="H10" s="61" t="s">
        <v>44</v>
      </c>
      <c r="I10" s="61"/>
      <c r="J10" s="61"/>
      <c r="K10" s="61"/>
      <c r="L10" s="61"/>
      <c r="M10" s="61"/>
      <c r="N10">
        <f>EXP(0.001)-1</f>
        <v>1.0005001667083846E-3</v>
      </c>
    </row>
    <row r="11" spans="1:14">
      <c r="A11" s="14">
        <f t="shared" si="3"/>
        <v>-0.49999999999999961</v>
      </c>
      <c r="B11" s="26">
        <f t="shared" si="0"/>
        <v>1.4999999999999996</v>
      </c>
      <c r="C11" s="12">
        <f t="shared" ca="1" si="1"/>
        <v>-1.2091408135132395E-3</v>
      </c>
      <c r="D11" s="12">
        <f t="shared" ca="1" si="2"/>
        <v>0.13334398823839419</v>
      </c>
      <c r="E11" s="28">
        <f ca="1">C11/D11</f>
        <v>-9.0678314747232626E-3</v>
      </c>
      <c r="F11" s="29">
        <f ca="1">(C11-$N$10)/D11</f>
        <v>-1.6570983134771684E-2</v>
      </c>
      <c r="G11" s="29">
        <f ca="1">(C11-$N$11)/D11</f>
        <v>-1.2818469410808695E-2</v>
      </c>
      <c r="H11" s="61" t="s">
        <v>45</v>
      </c>
      <c r="I11" s="61"/>
      <c r="J11" s="61"/>
      <c r="K11" s="61"/>
      <c r="L11" s="61"/>
      <c r="M11" s="61"/>
      <c r="N11">
        <f>EXP(0.0005)-1</f>
        <v>5.0012502083585098E-4</v>
      </c>
    </row>
    <row r="12" spans="1:14">
      <c r="A12" s="14">
        <f t="shared" si="3"/>
        <v>-0.44999999999999962</v>
      </c>
      <c r="B12" s="26">
        <f t="shared" si="0"/>
        <v>1.4499999999999997</v>
      </c>
      <c r="C12" s="12">
        <f t="shared" ca="1" si="1"/>
        <v>-1.2430907713026401E-3</v>
      </c>
      <c r="D12" s="12">
        <f t="shared" ca="1" si="2"/>
        <v>0.13078877138658779</v>
      </c>
      <c r="E12" s="28">
        <f ca="1">C12/D12</f>
        <v>-9.5045680001709792E-3</v>
      </c>
      <c r="F12" s="29">
        <f ca="1">(C12-$N$10)/D12</f>
        <v>-1.7154308540596186E-2</v>
      </c>
      <c r="G12" s="29">
        <f ca="1">(C12-$N$11)/D12</f>
        <v>-1.3328482052835123E-2</v>
      </c>
      <c r="H12" s="62"/>
      <c r="I12" s="61"/>
      <c r="J12" s="61"/>
      <c r="K12" s="61"/>
      <c r="L12" s="61"/>
      <c r="M12" s="61"/>
    </row>
    <row r="13" spans="1:14">
      <c r="A13" s="14">
        <f t="shared" si="3"/>
        <v>-0.39999999999999963</v>
      </c>
      <c r="B13" s="26">
        <f t="shared" si="0"/>
        <v>1.3999999999999997</v>
      </c>
      <c r="C13" s="12">
        <f t="shared" ca="1" si="1"/>
        <v>-1.277040729092041E-3</v>
      </c>
      <c r="D13" s="12">
        <f t="shared" ca="1" si="2"/>
        <v>0.12828167187346837</v>
      </c>
      <c r="E13" s="28">
        <f ca="1">C13/D13</f>
        <v>-9.9549741630406887E-3</v>
      </c>
      <c r="F13" s="29">
        <f ca="1">(C13-$N$10)/D13</f>
        <v>-1.7754218997448803E-2</v>
      </c>
      <c r="G13" s="29">
        <f ca="1">(C13-$N$11)/D13</f>
        <v>-1.385362167465991E-2</v>
      </c>
    </row>
    <row r="14" spans="1:14">
      <c r="A14" s="14">
        <f t="shared" si="3"/>
        <v>-0.34999999999999964</v>
      </c>
      <c r="B14" s="26">
        <f t="shared" si="0"/>
        <v>1.3499999999999996</v>
      </c>
      <c r="C14" s="12">
        <f t="shared" ca="1" si="1"/>
        <v>-1.3109906868814416E-3</v>
      </c>
      <c r="D14" s="12">
        <f t="shared" ca="1" si="2"/>
        <v>0.12582556597463909</v>
      </c>
      <c r="E14" s="28">
        <f ca="1">C14/D14</f>
        <v>-1.0419112179043802E-2</v>
      </c>
      <c r="F14" s="29">
        <f ca="1">(C14-$N$10)/D14</f>
        <v>-1.837059770552291E-2</v>
      </c>
      <c r="G14" s="29">
        <f ca="1">(C14-$N$11)/D14</f>
        <v>-1.4393861006612392E-2</v>
      </c>
    </row>
    <row r="15" spans="1:14">
      <c r="A15" s="14">
        <f t="shared" si="3"/>
        <v>-0.29999999999999966</v>
      </c>
      <c r="B15" s="26">
        <f t="shared" si="0"/>
        <v>1.2999999999999996</v>
      </c>
      <c r="C15" s="12">
        <f t="shared" ca="1" si="1"/>
        <v>-1.3449406446708425E-3</v>
      </c>
      <c r="D15" s="12">
        <f t="shared" ca="1" si="2"/>
        <v>0.12342349801950706</v>
      </c>
      <c r="E15" s="28">
        <f ca="1">C15/D15</f>
        <v>-1.0896957761303078E-2</v>
      </c>
      <c r="F15" s="29">
        <f ca="1">(C15-$N$10)/D15</f>
        <v>-1.9003195088576494E-2</v>
      </c>
      <c r="G15" s="29">
        <f ca="1">(C15-$N$11)/D15</f>
        <v>-1.494906314529411E-2</v>
      </c>
    </row>
    <row r="16" spans="1:14">
      <c r="A16" s="14">
        <f t="shared" si="3"/>
        <v>-0.24999999999999967</v>
      </c>
      <c r="B16" s="26">
        <f t="shared" si="0"/>
        <v>1.2499999999999996</v>
      </c>
      <c r="C16" s="12">
        <f t="shared" ca="1" si="1"/>
        <v>-1.3788906024602434E-3</v>
      </c>
      <c r="D16" s="12">
        <f t="shared" ca="1" si="2"/>
        <v>0.12107868421093464</v>
      </c>
      <c r="E16" s="28">
        <f ca="1">C16/D16</f>
        <v>-1.13883844332008E-2</v>
      </c>
      <c r="F16" s="29">
        <f ca="1">(C16-$N$10)/D16</f>
        <v>-1.9651607421033938E-2</v>
      </c>
      <c r="G16" s="29">
        <f ca="1">(C16-$N$11)/D16</f>
        <v>-1.5518963024264514E-2</v>
      </c>
    </row>
    <row r="17" spans="1:7">
      <c r="A17" s="14">
        <f t="shared" si="3"/>
        <v>-0.19999999999999968</v>
      </c>
      <c r="B17" s="26">
        <f t="shared" si="0"/>
        <v>1.1999999999999997</v>
      </c>
      <c r="C17" s="12">
        <f t="shared" ca="1" si="1"/>
        <v>-1.4128405602496443E-3</v>
      </c>
      <c r="D17" s="12">
        <f t="shared" ca="1" si="2"/>
        <v>0.11879451491326597</v>
      </c>
      <c r="E17" s="28">
        <f ca="1">C17/D17</f>
        <v>-1.1893146424152536E-2</v>
      </c>
      <c r="F17" s="29">
        <f ca="1">(C17-$N$10)/D17</f>
        <v>-2.0315253854271409E-2</v>
      </c>
      <c r="G17" s="29">
        <f ca="1">(C17-$N$11)/D17</f>
        <v>-1.610314737580423E-2</v>
      </c>
    </row>
    <row r="18" spans="1:7">
      <c r="A18" s="14">
        <f t="shared" si="3"/>
        <v>-0.14999999999999969</v>
      </c>
      <c r="B18" s="26">
        <f t="shared" si="0"/>
        <v>1.1499999999999997</v>
      </c>
      <c r="C18" s="12">
        <f t="shared" ca="1" si="1"/>
        <v>-1.4467905180390451E-3</v>
      </c>
      <c r="D18" s="12">
        <f t="shared" ca="1" si="2"/>
        <v>0.11657455499830172</v>
      </c>
      <c r="E18" s="28">
        <f ca="1">C18/D18</f>
        <v>-1.2410860312184956E-2</v>
      </c>
      <c r="F18" s="29">
        <f ca="1">(C18-$N$10)/D18</f>
        <v>-2.0993352149472778E-2</v>
      </c>
      <c r="G18" s="29">
        <f ca="1">(C18-$N$11)/D18</f>
        <v>-1.6701033419370626E-2</v>
      </c>
    </row>
    <row r="19" spans="1:7">
      <c r="A19" s="14">
        <f t="shared" si="3"/>
        <v>-9.9999999999999686E-2</v>
      </c>
      <c r="B19" s="26">
        <f t="shared" si="0"/>
        <v>1.0999999999999996</v>
      </c>
      <c r="C19" s="12">
        <f t="shared" ca="1" si="1"/>
        <v>-1.4807404758284456E-3</v>
      </c>
      <c r="D19" s="12">
        <f t="shared" ca="1" si="2"/>
        <v>0.1144225417868915</v>
      </c>
      <c r="E19" s="28">
        <f ca="1">C19/D19</f>
        <v>-1.2940985689570502E-2</v>
      </c>
      <c r="F19" s="29">
        <f ca="1">(C19-$N$10)/D19</f>
        <v>-2.1684893586423427E-2</v>
      </c>
      <c r="G19" s="29">
        <f ca="1">(C19-$N$11)/D19</f>
        <v>-1.7311846649531684E-2</v>
      </c>
    </row>
    <row r="20" spans="1:7">
      <c r="A20" s="14">
        <f t="shared" si="3"/>
        <v>-4.9999999999999684E-2</v>
      </c>
      <c r="B20" s="26">
        <f t="shared" si="0"/>
        <v>1.0499999999999996</v>
      </c>
      <c r="C20" s="12">
        <f t="shared" ca="1" si="1"/>
        <v>-1.5146904336178465E-3</v>
      </c>
      <c r="D20" s="12">
        <f t="shared" ca="1" si="2"/>
        <v>0.11234238007644645</v>
      </c>
      <c r="E20" s="28">
        <f ca="1">C20/D20</f>
        <v>-1.3482805265360533E-2</v>
      </c>
      <c r="F20" s="29">
        <f ca="1">(C20-$N$10)/D20</f>
        <v>-2.2388617711452265E-2</v>
      </c>
      <c r="G20" s="29">
        <f ca="1">(C20-$N$11)/D20</f>
        <v>-1.7934598261872867E-2</v>
      </c>
    </row>
    <row r="21" spans="1:7">
      <c r="A21" s="14">
        <f t="shared" si="3"/>
        <v>3.1918911957973251E-16</v>
      </c>
      <c r="B21" s="26">
        <f t="shared" si="0"/>
        <v>0.99999999999999967</v>
      </c>
      <c r="C21" s="12">
        <f t="shared" ca="1" si="1"/>
        <v>-1.5486403914072473E-3</v>
      </c>
      <c r="D21" s="12">
        <f t="shared" ca="1" si="2"/>
        <v>0.11033813370660003</v>
      </c>
      <c r="E21" s="28">
        <f ca="1">C21/D21</f>
        <v>-1.4035404980885707E-2</v>
      </c>
      <c r="F21" s="29">
        <f ca="1">(C21-$N$10)/D21</f>
        <v>-2.3102987811032292E-2</v>
      </c>
      <c r="G21" s="29">
        <f ca="1">(C21-$N$11)/D21</f>
        <v>-1.8568062948127864E-2</v>
      </c>
    </row>
    <row r="22" spans="1:7">
      <c r="A22" s="14">
        <f t="shared" si="3"/>
        <v>5.0000000000000322E-2</v>
      </c>
      <c r="B22" s="26">
        <f t="shared" si="0"/>
        <v>0.94999999999999973</v>
      </c>
      <c r="C22" s="12">
        <f t="shared" ca="1" si="1"/>
        <v>-1.5825903491966482E-3</v>
      </c>
      <c r="D22" s="12">
        <f t="shared" ca="1" si="2"/>
        <v>0.10841401309248404</v>
      </c>
      <c r="E22" s="28">
        <f ca="1">C22/D22</f>
        <v>-1.4597654897680045E-2</v>
      </c>
      <c r="F22" s="29">
        <f ca="1">(C22-$N$10)/D22</f>
        <v>-2.3826168243596818E-2</v>
      </c>
      <c r="G22" s="29">
        <f ca="1">(C22-$N$11)/D22</f>
        <v>-1.9210758006493227E-2</v>
      </c>
    </row>
    <row r="23" spans="1:7">
      <c r="A23" s="14">
        <f t="shared" si="3"/>
        <v>0.10000000000000032</v>
      </c>
      <c r="B23" s="26">
        <f t="shared" si="0"/>
        <v>0.89999999999999969</v>
      </c>
      <c r="C23" s="12">
        <f t="shared" ca="1" si="1"/>
        <v>-1.6165403069860491E-3</v>
      </c>
      <c r="D23" s="12">
        <f t="shared" ca="1" si="2"/>
        <v>0.10657435815488646</v>
      </c>
      <c r="E23" s="28">
        <f ca="1">C23/D23</f>
        <v>-1.5168191814364029E-2</v>
      </c>
      <c r="F23" s="29">
        <f ca="1">(C23-$N$10)/D23</f>
        <v>-2.4556005018496484E-2</v>
      </c>
      <c r="G23" s="29">
        <f ca="1">(C23-$N$11)/D23</f>
        <v>-1.9860924939803171E-2</v>
      </c>
    </row>
    <row r="24" spans="1:7">
      <c r="A24" s="14">
        <f t="shared" si="3"/>
        <v>0.15000000000000033</v>
      </c>
      <c r="B24" s="26">
        <f t="shared" si="0"/>
        <v>0.84999999999999964</v>
      </c>
      <c r="C24" s="12">
        <f t="shared" ca="1" si="1"/>
        <v>-1.6504902647754497E-3</v>
      </c>
      <c r="D24" s="12">
        <f t="shared" ca="1" si="2"/>
        <v>0.10482361610716209</v>
      </c>
      <c r="E24" s="28">
        <f ca="1">C24/D24</f>
        <v>-1.5745404767262935E-2</v>
      </c>
      <c r="F24" s="29">
        <f ca="1">(C24-$N$10)/D24</f>
        <v>-2.5290011258280804E-2</v>
      </c>
      <c r="G24" s="29">
        <f ca="1">(C24-$N$11)/D24</f>
        <v>-2.0516514936984316E-2</v>
      </c>
    </row>
    <row r="25" spans="1:7">
      <c r="A25" s="14">
        <f t="shared" si="3"/>
        <v>0.20000000000000034</v>
      </c>
      <c r="B25" s="26">
        <f t="shared" si="0"/>
        <v>0.7999999999999996</v>
      </c>
      <c r="C25" s="12">
        <f t="shared" ca="1" si="1"/>
        <v>-1.6844402225648504E-3</v>
      </c>
      <c r="D25" s="12">
        <f t="shared" ca="1" si="2"/>
        <v>0.10316631362893768</v>
      </c>
      <c r="E25" s="28">
        <f ca="1">C25/D25</f>
        <v>-1.63274247505183E-2</v>
      </c>
      <c r="F25" s="29">
        <f ca="1">(C25-$N$10)/D25</f>
        <v>-2.6025359391344208E-2</v>
      </c>
      <c r="G25" s="29">
        <f ca="1">(C25-$N$11)/D25</f>
        <v>-2.1175179829125357E-2</v>
      </c>
    </row>
    <row r="26" spans="1:7">
      <c r="A26" s="14">
        <f t="shared" si="3"/>
        <v>0.25000000000000033</v>
      </c>
      <c r="B26" s="26">
        <f t="shared" si="0"/>
        <v>0.74999999999999967</v>
      </c>
      <c r="C26" s="12">
        <f t="shared" ca="1" si="1"/>
        <v>-1.7183901803542513E-3</v>
      </c>
      <c r="D26" s="12">
        <f t="shared" ca="1" si="2"/>
        <v>0.10160702307485413</v>
      </c>
      <c r="E26" s="28">
        <f ca="1">C26/D26</f>
        <v>-1.6912120130596772E-2</v>
      </c>
      <c r="F26" s="29">
        <f ca="1">(C26-$N$10)/D26</f>
        <v>-2.6758882061327819E-2</v>
      </c>
      <c r="G26" s="29">
        <f ca="1">(C26-$N$11)/D26</f>
        <v>-2.1834270250745531E-2</v>
      </c>
    </row>
    <row r="27" spans="1:7">
      <c r="A27" s="14">
        <f t="shared" si="3"/>
        <v>0.30000000000000032</v>
      </c>
      <c r="B27" s="26">
        <f t="shared" si="0"/>
        <v>0.69999999999999973</v>
      </c>
      <c r="C27" s="12">
        <f t="shared" ca="1" si="1"/>
        <v>-1.7523401381436521E-3</v>
      </c>
      <c r="D27" s="12">
        <f t="shared" ca="1" si="2"/>
        <v>0.10015032253982264</v>
      </c>
      <c r="E27" s="28">
        <f ca="1">C27/D27</f>
        <v>-1.7497099297377413E-2</v>
      </c>
      <c r="F27" s="29">
        <f ca="1">(C27-$N$10)/D27</f>
        <v>-2.7487083766080018E-2</v>
      </c>
      <c r="G27" s="29">
        <f ca="1">(C27-$N$11)/D27</f>
        <v>-2.2490842783695064E-2</v>
      </c>
    </row>
    <row r="28" spans="1:7">
      <c r="A28" s="14">
        <f t="shared" si="3"/>
        <v>0.35000000000000031</v>
      </c>
      <c r="B28" s="26">
        <f t="shared" si="0"/>
        <v>0.64999999999999969</v>
      </c>
      <c r="C28" s="12">
        <f t="shared" ca="1" si="1"/>
        <v>-1.786290095933053E-3</v>
      </c>
      <c r="D28" s="12">
        <f t="shared" ca="1" si="2"/>
        <v>9.880074983457382E-2</v>
      </c>
      <c r="E28" s="28">
        <f ca="1">C28/D28</f>
        <v>-1.8079722055995652E-2</v>
      </c>
      <c r="F28" s="29">
        <f ca="1">(C28-$N$10)/D28</f>
        <v>-2.8206165108134056E-2</v>
      </c>
      <c r="G28" s="29">
        <f ca="1">(C28-$N$11)/D28</f>
        <v>-2.314167777670861E-2</v>
      </c>
    </row>
    <row r="29" spans="1:7">
      <c r="A29" s="14">
        <f t="shared" si="3"/>
        <v>0.4000000000000003</v>
      </c>
      <c r="B29" s="26">
        <f t="shared" si="0"/>
        <v>0.59999999999999964</v>
      </c>
      <c r="C29" s="12">
        <f t="shared" ca="1" si="1"/>
        <v>-1.8202400537224537E-3</v>
      </c>
      <c r="D29" s="12">
        <f t="shared" ca="1" si="2"/>
        <v>9.7562750715959906E-2</v>
      </c>
      <c r="E29" s="28">
        <f ca="1">C29/D29</f>
        <v>-1.8657121087348429E-2</v>
      </c>
      <c r="F29" s="29">
        <f ca="1">(C29-$N$10)/D29</f>
        <v>-2.8912061209129113E-2</v>
      </c>
      <c r="G29" s="29">
        <f ca="1">(C29-$N$11)/D29</f>
        <v>-2.3783309280749145E-2</v>
      </c>
    </row>
    <row r="30" spans="1:7">
      <c r="A30" s="14">
        <f t="shared" si="3"/>
        <v>0.45000000000000029</v>
      </c>
      <c r="B30" s="26">
        <f t="shared" si="0"/>
        <v>0.54999999999999971</v>
      </c>
      <c r="C30" s="12">
        <f t="shared" ca="1" si="1"/>
        <v>-1.8541900115118543E-3</v>
      </c>
      <c r="D30" s="12">
        <f t="shared" ca="1" si="2"/>
        <v>9.6440622058352521E-2</v>
      </c>
      <c r="E30" s="28">
        <f ca="1">C30/D30</f>
        <v>-1.9226234463626281E-2</v>
      </c>
      <c r="F30" s="29">
        <f ca="1">(C30-$N$10)/D30</f>
        <v>-2.9600495281884177E-2</v>
      </c>
      <c r="G30" s="29">
        <f ca="1">(C30-$N$11)/D30</f>
        <v>-2.4412068090178842E-2</v>
      </c>
    </row>
    <row r="31" spans="1:7">
      <c r="A31" s="14">
        <f t="shared" si="3"/>
        <v>0.50000000000000033</v>
      </c>
      <c r="B31" s="26">
        <f t="shared" si="0"/>
        <v>0.49999999999999967</v>
      </c>
      <c r="C31" s="12">
        <f t="shared" ca="1" si="1"/>
        <v>-1.8881399693012552E-3</v>
      </c>
      <c r="D31" s="12">
        <f t="shared" ca="1" si="2"/>
        <v>9.5438451030422825E-2</v>
      </c>
      <c r="E31" s="28">
        <f ca="1">C31/D31</f>
        <v>-1.9783849684435622E-2</v>
      </c>
      <c r="F31" s="29">
        <f ca="1">(C31-$N$10)/D31</f>
        <v>-3.0267047556008959E-2</v>
      </c>
      <c r="G31" s="29">
        <f ca="1">(C31-$N$11)/D31</f>
        <v>-2.5024138220514511E-2</v>
      </c>
    </row>
    <row r="32" spans="1:7">
      <c r="A32" s="14">
        <f t="shared" si="3"/>
        <v>0.55000000000000038</v>
      </c>
      <c r="B32" s="26">
        <f t="shared" si="0"/>
        <v>0.44999999999999962</v>
      </c>
      <c r="C32" s="12">
        <f t="shared" ca="1" si="1"/>
        <v>-1.9220899270906561E-3</v>
      </c>
      <c r="D32" s="12">
        <f t="shared" ca="1" si="2"/>
        <v>9.4560051731784694E-2</v>
      </c>
      <c r="E32" s="28">
        <f ca="1">C32/D32</f>
        <v>-2.0326659005460119E-2</v>
      </c>
      <c r="F32" s="29">
        <f ca="1">(C32-$N$10)/D32</f>
        <v>-3.0907238736383468E-2</v>
      </c>
      <c r="G32" s="29">
        <f ca="1">(C32-$N$11)/D32</f>
        <v>-2.5615626298481839E-2</v>
      </c>
    </row>
    <row r="33" spans="1:16">
      <c r="A33" s="14">
        <f t="shared" si="3"/>
        <v>0.60000000000000042</v>
      </c>
      <c r="B33" s="26">
        <f t="shared" si="0"/>
        <v>0.39999999999999958</v>
      </c>
      <c r="C33" s="12">
        <f t="shared" ca="1" si="1"/>
        <v>-1.9560398848800569E-3</v>
      </c>
      <c r="D33" s="12">
        <f t="shared" ca="1" si="2"/>
        <v>9.3808901114425955E-2</v>
      </c>
      <c r="E33" s="28">
        <f ca="1">C33/D33</f>
        <v>-2.0851324998404194E-2</v>
      </c>
      <c r="F33" s="29">
        <f ca="1">(C33-$N$10)/D33</f>
        <v>-3.1516625996739066E-2</v>
      </c>
      <c r="G33" s="29">
        <f ca="1">(C33-$N$11)/D33</f>
        <v>-2.6182642334973458E-2</v>
      </c>
    </row>
    <row r="34" spans="1:16">
      <c r="A34" s="14">
        <f t="shared" si="3"/>
        <v>0.65000000000000047</v>
      </c>
      <c r="B34" s="26">
        <f t="shared" si="0"/>
        <v>0.34999999999999953</v>
      </c>
      <c r="C34" s="12">
        <f t="shared" ca="1" si="1"/>
        <v>-1.9899898426694578E-3</v>
      </c>
      <c r="D34" s="12">
        <f t="shared" ca="1" si="2"/>
        <v>9.3188076326434915E-2</v>
      </c>
      <c r="E34" s="28">
        <f ca="1">C34/D34</f>
        <v>-2.1354554371297307E-2</v>
      </c>
      <c r="F34" s="29">
        <f ca="1">(C34-$N$10)/D34</f>
        <v>-3.2090908271378511E-2</v>
      </c>
      <c r="G34" s="29">
        <f ca="1">(C34-$N$11)/D34</f>
        <v>-2.6721389277127198E-2</v>
      </c>
    </row>
    <row r="35" spans="1:16">
      <c r="A35" s="14">
        <f t="shared" si="3"/>
        <v>0.70000000000000051</v>
      </c>
      <c r="B35" s="26">
        <f t="shared" si="0"/>
        <v>0.29999999999999949</v>
      </c>
      <c r="C35" s="12">
        <f t="shared" ca="1" si="1"/>
        <v>-2.0239398004588587E-3</v>
      </c>
      <c r="D35" s="12">
        <f t="shared" ca="1" si="2"/>
        <v>9.2700195829856433E-2</v>
      </c>
      <c r="E35" s="28">
        <f ca="1">C35/D35</f>
        <v>-2.1833177183073413E-2</v>
      </c>
      <c r="F35" s="29">
        <f ca="1">(C35-$N$10)/D35</f>
        <v>-3.2626036440293542E-2</v>
      </c>
      <c r="G35" s="29">
        <f ca="1">(C35-$N$11)/D35</f>
        <v>-2.7228257704303264E-2</v>
      </c>
    </row>
    <row r="36" spans="1:16">
      <c r="A36" s="14">
        <f t="shared" si="3"/>
        <v>0.75000000000000056</v>
      </c>
      <c r="B36" s="26">
        <f t="shared" si="0"/>
        <v>0.24999999999999944</v>
      </c>
      <c r="C36" s="12">
        <f t="shared" ca="1" si="1"/>
        <v>-2.0578897582482596E-3</v>
      </c>
      <c r="D36" s="12">
        <f t="shared" ca="1" si="2"/>
        <v>9.2347366723220498E-2</v>
      </c>
      <c r="E36" s="28">
        <f ca="1">C36/D36</f>
        <v>-2.2284227815786855E-2</v>
      </c>
      <c r="F36" s="29">
        <f ca="1">(C36-$N$10)/D36</f>
        <v>-3.3118323060830929E-2</v>
      </c>
      <c r="G36" s="29">
        <f ca="1">(C36-$N$11)/D36</f>
        <v>-2.7699921176430303E-2</v>
      </c>
    </row>
    <row r="37" spans="1:16">
      <c r="A37" s="14">
        <f t="shared" si="3"/>
        <v>0.8000000000000006</v>
      </c>
      <c r="B37" s="26">
        <f t="shared" si="0"/>
        <v>0.1999999999999994</v>
      </c>
      <c r="C37" s="12">
        <f t="shared" ca="1" si="1"/>
        <v>-2.0918397160376604E-3</v>
      </c>
      <c r="D37" s="12">
        <f t="shared" ca="1" si="2"/>
        <v>9.2131140614230819E-2</v>
      </c>
      <c r="E37" s="28">
        <f ca="1">C37/D37</f>
        <v>-2.2705023535924285E-2</v>
      </c>
      <c r="F37" s="29">
        <f ca="1">(C37-$N$10)/D37</f>
        <v>-3.3564545734804392E-2</v>
      </c>
      <c r="G37" s="29">
        <f ca="1">(C37-$N$11)/D37</f>
        <v>-2.8133427195116585E-2</v>
      </c>
    </row>
    <row r="38" spans="1:16">
      <c r="A38" s="14">
        <f t="shared" si="3"/>
        <v>0.85000000000000064</v>
      </c>
      <c r="B38" s="26">
        <f t="shared" si="0"/>
        <v>0.14999999999999936</v>
      </c>
      <c r="C38" s="12">
        <f t="shared" ca="1" si="1"/>
        <v>-2.1257896738270613E-3</v>
      </c>
      <c r="D38" s="12">
        <f t="shared" ca="1" si="2"/>
        <v>9.2052480126242855E-2</v>
      </c>
      <c r="E38" s="28">
        <f ca="1">C38/D38</f>
        <v>-2.3093236281213774E-2</v>
      </c>
      <c r="F38" s="29">
        <f ca="1">(C38-$N$10)/D38</f>
        <v>-3.3962038135724112E-2</v>
      </c>
      <c r="G38" s="29">
        <f ca="1">(C38-$N$11)/D38</f>
        <v>-2.8526278608264257E-2</v>
      </c>
    </row>
    <row r="39" spans="1:16">
      <c r="A39" s="35">
        <f t="shared" si="3"/>
        <v>0.90000000000000069</v>
      </c>
      <c r="B39" s="35">
        <f t="shared" si="0"/>
        <v>9.9999999999999312E-2</v>
      </c>
      <c r="C39" s="34">
        <f t="shared" ca="1" si="1"/>
        <v>-2.1597396316164622E-3</v>
      </c>
      <c r="D39" s="34">
        <f t="shared" ca="1" si="2"/>
        <v>9.2111737689897402E-2</v>
      </c>
      <c r="E39" s="34">
        <f ca="1">C39/D39</f>
        <v>-2.3446953512997696E-2</v>
      </c>
      <c r="F39" s="34">
        <f ca="1">(C39-$N$10)/D39</f>
        <v>-3.4308763221513452E-2</v>
      </c>
      <c r="G39" s="34">
        <f ca="1">(C39-$N$11)/D39</f>
        <v>-2.8876500641069121E-2</v>
      </c>
    </row>
    <row r="40" spans="1:16">
      <c r="A40" s="14">
        <f t="shared" si="3"/>
        <v>0.95000000000000073</v>
      </c>
      <c r="B40" s="26">
        <f t="shared" si="0"/>
        <v>4.9999999999999267E-2</v>
      </c>
      <c r="C40" s="27">
        <f t="shared" ca="1" si="1"/>
        <v>-2.1936895894058626E-3</v>
      </c>
      <c r="D40" s="27">
        <f ca="1">SQRT((A40^2)*($I$3^2) + (B40^2)*($M$3^2) + 2*A40*B40*$I$3*$M$3*$N$9)</f>
        <v>9.2308647695974605E-2</v>
      </c>
      <c r="E40" s="28">
        <f ca="1">C40/D40</f>
        <v>-2.3764724586053328E-2</v>
      </c>
      <c r="F40" s="29">
        <f ca="1">(C40-$N$10)/D40</f>
        <v>-3.460336421171014E-2</v>
      </c>
      <c r="G40" s="29">
        <f ca="1">(C40-$N$11)/D40</f>
        <v>-2.9182689568955578E-2</v>
      </c>
    </row>
    <row r="41" spans="1:16">
      <c r="A41" s="14">
        <f t="shared" si="3"/>
        <v>1.0000000000000007</v>
      </c>
      <c r="B41" s="26">
        <f t="shared" si="0"/>
        <v>0</v>
      </c>
      <c r="C41" s="12">
        <f t="shared" ca="1" si="1"/>
        <v>-2.2276395471952644E-3</v>
      </c>
      <c r="D41" s="12">
        <f t="shared" ca="1" si="2"/>
        <v>9.2642332413501019E-2</v>
      </c>
      <c r="E41" s="28">
        <f ca="1">C41/D41</f>
        <v>-2.4045590057603348E-2</v>
      </c>
      <c r="F41" s="29">
        <f ca="1">(C41-$N$10)/D41</f>
        <v>-3.4845190420024479E-2</v>
      </c>
      <c r="G41" s="29">
        <f ca="1">(C41-$N$11)/D41</f>
        <v>-2.9444040288795565E-2</v>
      </c>
    </row>
    <row r="42" spans="1:16">
      <c r="A42" s="14">
        <f t="shared" si="3"/>
        <v>1.0500000000000007</v>
      </c>
      <c r="B42" s="26">
        <f t="shared" si="0"/>
        <v>-5.0000000000000711E-2</v>
      </c>
      <c r="C42" s="12">
        <f t="shared" ca="1" si="1"/>
        <v>-2.2615895049846639E-3</v>
      </c>
      <c r="D42" s="12">
        <f t="shared" ca="1" si="2"/>
        <v>9.3111321368105543E-2</v>
      </c>
      <c r="E42" s="28">
        <f ca="1">C42/D42</f>
        <v>-2.4289092580307332E-2</v>
      </c>
      <c r="F42" s="29">
        <f ca="1">(C42-$N$10)/D42</f>
        <v>-3.5034296836973559E-2</v>
      </c>
      <c r="G42" s="29">
        <f ca="1">(C42-$N$11)/D42</f>
        <v>-2.9660351558135182E-2</v>
      </c>
    </row>
    <row r="43" spans="1:16">
      <c r="A43" s="14">
        <f t="shared" si="3"/>
        <v>1.1000000000000008</v>
      </c>
      <c r="B43" s="26">
        <f t="shared" si="0"/>
        <v>-0.10000000000000075</v>
      </c>
      <c r="C43" s="12">
        <f t="shared" ca="1" si="1"/>
        <v>-2.2955394627740648E-3</v>
      </c>
      <c r="D43" s="12">
        <f t="shared" ca="1" si="2"/>
        <v>9.3713583194554084E-2</v>
      </c>
      <c r="E43" s="28">
        <f ca="1">C43/D43</f>
        <v>-2.4495269357147621E-2</v>
      </c>
      <c r="F43" s="29">
        <f ca="1">(C43-$N$10)/D43</f>
        <v>-3.5171418241896762E-2</v>
      </c>
      <c r="G43" s="29">
        <f ca="1">(C43-$N$11)/D43</f>
        <v>-2.9832009280938244E-2</v>
      </c>
    </row>
    <row r="44" spans="1:16">
      <c r="A44" s="14">
        <f t="shared" si="3"/>
        <v>1.1500000000000008</v>
      </c>
      <c r="B44" s="26">
        <f t="shared" si="0"/>
        <v>-0.1500000000000008</v>
      </c>
      <c r="C44" s="12">
        <f t="shared" ca="1" si="1"/>
        <v>-2.3294894205634661E-3</v>
      </c>
      <c r="D44" s="12">
        <f t="shared" ca="1" si="2"/>
        <v>9.4446568385291557E-2</v>
      </c>
      <c r="E44" s="28">
        <f ca="1">C44/D44</f>
        <v>-2.4664627422569696E-2</v>
      </c>
      <c r="F44" s="29">
        <f ca="1">(C44-$N$10)/D44</f>
        <v>-3.5257920369189823E-2</v>
      </c>
      <c r="G44" s="29">
        <f ca="1">(C44-$N$11)/D44</f>
        <v>-2.9959949734287873E-2</v>
      </c>
    </row>
    <row r="45" spans="1:16">
      <c r="A45" s="14">
        <f t="shared" si="3"/>
        <v>1.2000000000000008</v>
      </c>
      <c r="B45" s="26">
        <f t="shared" si="0"/>
        <v>-0.20000000000000084</v>
      </c>
      <c r="C45" s="12">
        <f t="shared" ca="1" si="1"/>
        <v>-2.363439378352867E-3</v>
      </c>
      <c r="D45" s="12">
        <f t="shared" ca="1" si="2"/>
        <v>9.5307260902301988E-2</v>
      </c>
      <c r="E45" s="28">
        <f ca="1">C45/D45</f>
        <v>-2.4798104110615376E-2</v>
      </c>
      <c r="F45" s="29">
        <f ca="1">(C45-$N$10)/D45</f>
        <v>-3.5295732069244697E-2</v>
      </c>
      <c r="G45" s="29">
        <f ca="1">(C45-$N$11)/D45</f>
        <v>-3.0045605886461411E-2</v>
      </c>
      <c r="K45" s="38" t="s">
        <v>46</v>
      </c>
      <c r="L45" s="38" t="s">
        <v>47</v>
      </c>
      <c r="M45" s="38" t="s">
        <v>48</v>
      </c>
      <c r="N45" s="38" t="s">
        <v>49</v>
      </c>
      <c r="O45" s="38" t="s">
        <v>50</v>
      </c>
      <c r="P45" s="38" t="s">
        <v>51</v>
      </c>
    </row>
    <row r="46" spans="1:16">
      <c r="A46" s="14">
        <f t="shared" si="3"/>
        <v>1.2500000000000009</v>
      </c>
      <c r="B46" s="26">
        <f t="shared" si="0"/>
        <v>-0.25000000000000089</v>
      </c>
      <c r="C46" s="12">
        <f t="shared" ca="1" si="1"/>
        <v>-2.3973893361422679E-3</v>
      </c>
      <c r="D46" s="12">
        <f t="shared" ca="1" si="2"/>
        <v>9.6292236332885792E-2</v>
      </c>
      <c r="E46" s="28">
        <f ca="1">C46/D46</f>
        <v>-2.4897015870047976E-2</v>
      </c>
      <c r="F46" s="29">
        <f ca="1">(C46-$N$10)/D46</f>
        <v>-3.5287263358429272E-2</v>
      </c>
      <c r="G46" s="29">
        <f ca="1">(C46-$N$11)/D46</f>
        <v>-3.0090840833328508E-2</v>
      </c>
      <c r="K46" s="39">
        <f ca="1">$E$39</f>
        <v>-2.3446953512997696E-2</v>
      </c>
      <c r="L46" s="39">
        <f>$A$39</f>
        <v>0.90000000000000069</v>
      </c>
      <c r="M46" s="39">
        <f ca="1">$C$39</f>
        <v>-2.1597396316164622E-3</v>
      </c>
      <c r="N46" s="39">
        <f ca="1">$D$39</f>
        <v>9.2111737689897402E-2</v>
      </c>
      <c r="O46" s="39">
        <f ca="1">$F$39</f>
        <v>-3.4308763221513452E-2</v>
      </c>
      <c r="P46" s="39">
        <f ca="1">$G$39</f>
        <v>-2.8876500641069121E-2</v>
      </c>
    </row>
    <row r="47" spans="1:16">
      <c r="A47" s="14">
        <f t="shared" si="3"/>
        <v>1.3000000000000009</v>
      </c>
      <c r="B47" s="26">
        <f t="shared" si="0"/>
        <v>-0.30000000000000093</v>
      </c>
      <c r="C47" s="12">
        <f t="shared" ca="1" si="1"/>
        <v>-2.4313392939316687E-3</v>
      </c>
      <c r="D47" s="12">
        <f t="shared" ca="1" si="2"/>
        <v>9.7397724160393842E-2</v>
      </c>
      <c r="E47" s="28">
        <f ca="1">C47/D47</f>
        <v>-2.4962999031966675E-2</v>
      </c>
      <c r="F47" s="29">
        <f ca="1">(C47-$N$10)/D47</f>
        <v>-3.5235314687523146E-2</v>
      </c>
      <c r="G47" s="29">
        <f ca="1">(C47-$N$11)/D47</f>
        <v>-3.0097872820313606E-2</v>
      </c>
      <c r="K47" t="s">
        <v>52</v>
      </c>
      <c r="L47">
        <f ca="1">SUM(K65:M65)</f>
        <v>7.4415422216118771E-3</v>
      </c>
    </row>
    <row r="48" spans="1:16">
      <c r="A48" s="14">
        <f t="shared" si="3"/>
        <v>1.350000000000001</v>
      </c>
      <c r="B48" s="26">
        <f t="shared" si="0"/>
        <v>-0.35000000000000098</v>
      </c>
      <c r="C48" s="12">
        <f t="shared" ca="1" si="1"/>
        <v>-2.4652892517210696E-3</v>
      </c>
      <c r="D48" s="12">
        <f t="shared" ca="1" si="2"/>
        <v>9.8619671778033019E-2</v>
      </c>
      <c r="E48" s="28">
        <f ca="1">C48/D48</f>
        <v>-2.4997946223850636E-2</v>
      </c>
      <c r="F48" s="29">
        <f ca="1">(C48-$N$10)/D48</f>
        <v>-3.5142982692439255E-2</v>
      </c>
      <c r="G48" s="29">
        <f ca="1">(C48-$N$11)/D48</f>
        <v>-3.0069196328611693E-2</v>
      </c>
    </row>
    <row r="49" spans="1:15">
      <c r="A49" s="14">
        <f t="shared" si="3"/>
        <v>1.400000000000001</v>
      </c>
      <c r="B49" s="26">
        <f t="shared" si="0"/>
        <v>-0.40000000000000102</v>
      </c>
      <c r="C49" s="12">
        <f t="shared" ca="1" si="1"/>
        <v>-2.4992392095104701E-3</v>
      </c>
      <c r="D49" s="12">
        <f t="shared" ca="1" si="2"/>
        <v>9.9953808071212194E-2</v>
      </c>
      <c r="E49" s="28">
        <f ca="1">C49/D49</f>
        <v>-2.5003941898140435E-2</v>
      </c>
      <c r="F49" s="29">
        <f ca="1">(C49-$N$10)/D49</f>
        <v>-3.501356720421759E-2</v>
      </c>
      <c r="G49" s="29">
        <f ca="1">(C49-$N$11)/D49</f>
        <v>-3.0007503348040736E-2</v>
      </c>
      <c r="K49" s="45" t="s">
        <v>53</v>
      </c>
      <c r="L49">
        <f>(FrontSheet!C40)^2</f>
        <v>7.4415422216118771E-3</v>
      </c>
      <c r="N49" t="s">
        <v>54</v>
      </c>
      <c r="O49" s="11">
        <v>1E-3</v>
      </c>
    </row>
    <row r="50" spans="1:15">
      <c r="A50" s="14">
        <f t="shared" si="3"/>
        <v>1.4500000000000011</v>
      </c>
      <c r="B50" s="26">
        <f t="shared" si="0"/>
        <v>-0.45000000000000107</v>
      </c>
      <c r="C50" s="12">
        <f t="shared" ca="1" si="1"/>
        <v>-2.5331891672998709E-3</v>
      </c>
      <c r="D50" s="12">
        <f t="shared" ca="1" si="2"/>
        <v>0.10139570469508781</v>
      </c>
      <c r="E50" s="28">
        <f ca="1">C50/D50</f>
        <v>-2.4983199977923653E-2</v>
      </c>
      <c r="F50" s="29">
        <f ca="1">(C50-$N$10)/D50</f>
        <v>-3.4850483505534997E-2</v>
      </c>
      <c r="G50" s="29">
        <f ca="1">(C50-$N$11)/D50</f>
        <v>-2.9915608331313005E-2</v>
      </c>
      <c r="K50" s="29" t="s">
        <v>55</v>
      </c>
      <c r="L50">
        <f>(FrontSheet!C41)^2</f>
        <v>2.1277232848170009E-3</v>
      </c>
    </row>
    <row r="51" spans="1:15">
      <c r="A51" s="14">
        <f t="shared" si="3"/>
        <v>1.5000000000000011</v>
      </c>
      <c r="B51" s="26">
        <f t="shared" si="0"/>
        <v>-0.50000000000000111</v>
      </c>
      <c r="C51" s="12">
        <f t="shared" ca="1" si="1"/>
        <v>-2.5671391250892718E-3</v>
      </c>
      <c r="D51" s="12">
        <f t="shared" ca="1" si="2"/>
        <v>0.10294083353867473</v>
      </c>
      <c r="E51" s="28">
        <f ca="1">C51/D51</f>
        <v>-2.4938006006380367E-2</v>
      </c>
      <c r="F51" s="29">
        <f ca="1">(C51-$N$10)/D51</f>
        <v>-3.4657182860845008E-2</v>
      </c>
      <c r="G51" s="29">
        <f ca="1">(C51-$N$11)/D51</f>
        <v>-2.9796379536530138E-2</v>
      </c>
      <c r="K51" s="46" t="s">
        <v>56</v>
      </c>
      <c r="L51">
        <f>(FrontSheet!C40)*(FrontSheet!C41)*FrontSheet!D40</f>
        <v>1.7527032772640199E-3</v>
      </c>
    </row>
    <row r="52" spans="1:15">
      <c r="A52" s="14">
        <f t="shared" si="3"/>
        <v>1.5500000000000012</v>
      </c>
      <c r="B52" s="26">
        <f t="shared" si="0"/>
        <v>-0.55000000000000115</v>
      </c>
      <c r="C52" s="12">
        <f t="shared" ca="1" si="1"/>
        <v>-2.6010890828786727E-3</v>
      </c>
      <c r="D52" s="12">
        <f t="shared" ca="1" si="2"/>
        <v>0.10458461925640782</v>
      </c>
      <c r="E52" s="28">
        <f ca="1">C52/D52</f>
        <v>-2.487066550867905E-2</v>
      </c>
      <c r="F52" s="29">
        <f ca="1">(C52-$N$10)/D52</f>
        <v>-3.4437083341644338E-2</v>
      </c>
      <c r="G52" s="29">
        <f ca="1">(C52-$N$11)/D52</f>
        <v>-2.9652678622956452E-2</v>
      </c>
    </row>
    <row r="53" spans="1:15">
      <c r="A53" s="14">
        <f t="shared" si="3"/>
        <v>1.6000000000000012</v>
      </c>
      <c r="B53" s="26">
        <f t="shared" si="0"/>
        <v>-0.6000000000000012</v>
      </c>
      <c r="C53" s="12">
        <f t="shared" ca="1" si="1"/>
        <v>-2.6350390406680736E-3</v>
      </c>
      <c r="D53" s="12">
        <f t="shared" ca="1" si="2"/>
        <v>0.10632248612934804</v>
      </c>
      <c r="E53" s="28">
        <f ca="1">C53/D53</f>
        <v>-2.4783459610438208E-2</v>
      </c>
      <c r="F53" s="29">
        <f ca="1">(C53-$N$10)/D53</f>
        <v>-3.4193512019212891E-2</v>
      </c>
      <c r="G53" s="29">
        <f ca="1">(C53-$N$11)/D53</f>
        <v>-2.9487309558297939E-2</v>
      </c>
      <c r="K53" t="s">
        <v>57</v>
      </c>
    </row>
    <row r="54" spans="1:15">
      <c r="A54" s="14">
        <f t="shared" si="3"/>
        <v>1.6500000000000012</v>
      </c>
      <c r="B54" s="26">
        <f t="shared" si="0"/>
        <v>-0.65000000000000124</v>
      </c>
      <c r="C54" s="12">
        <f t="shared" ca="1" si="1"/>
        <v>-2.6689889984574744E-3</v>
      </c>
      <c r="D54" s="12">
        <f t="shared" ca="1" si="2"/>
        <v>0.10814989886629568</v>
      </c>
      <c r="E54" s="28">
        <f ca="1">C54/D54</f>
        <v>-2.4678608361503054E-2</v>
      </c>
      <c r="F54" s="29">
        <f ca="1">(C54-$N$10)/D54</f>
        <v>-3.3929658775755316E-2</v>
      </c>
      <c r="G54" s="29">
        <f ca="1">(C54-$N$11)/D54</f>
        <v>-2.9302977187350494E-2</v>
      </c>
      <c r="K54" t="s">
        <v>58</v>
      </c>
      <c r="L54" t="s">
        <v>59</v>
      </c>
      <c r="M54" t="s">
        <v>60</v>
      </c>
    </row>
    <row r="55" spans="1:15">
      <c r="A55" s="14">
        <f t="shared" si="3"/>
        <v>1.7000000000000013</v>
      </c>
      <c r="B55" s="26">
        <f t="shared" si="0"/>
        <v>-0.70000000000000129</v>
      </c>
      <c r="C55" s="12">
        <f t="shared" ca="1" si="1"/>
        <v>-2.7029389562468753E-3</v>
      </c>
      <c r="D55" s="12">
        <f t="shared" ca="1" si="2"/>
        <v>0.11006239725356488</v>
      </c>
      <c r="E55" s="28">
        <f ca="1">C55/D55</f>
        <v>-2.4558241721918592E-2</v>
      </c>
      <c r="F55" s="29">
        <f ca="1">(C55-$N$10)/D55</f>
        <v>-3.3648541330815934E-2</v>
      </c>
      <c r="G55" s="29">
        <f ca="1">(C55-$N$11)/D55</f>
        <v>-2.9102255238938838E-2</v>
      </c>
      <c r="J55" t="s">
        <v>58</v>
      </c>
      <c r="K55">
        <f>L49</f>
        <v>7.4415422216118771E-3</v>
      </c>
      <c r="L55">
        <f>L51</f>
        <v>1.7527032772640199E-3</v>
      </c>
      <c r="M55">
        <f ca="1">K57</f>
        <v>1.2925704324746549E-36</v>
      </c>
    </row>
    <row r="56" spans="1:15">
      <c r="A56" s="14">
        <f t="shared" si="3"/>
        <v>1.7500000000000013</v>
      </c>
      <c r="B56" s="26">
        <f t="shared" si="0"/>
        <v>-0.75000000000000133</v>
      </c>
      <c r="C56" s="12">
        <f t="shared" ca="1" si="1"/>
        <v>-2.7368889140362762E-3</v>
      </c>
      <c r="D56" s="12">
        <f t="shared" ca="1" si="2"/>
        <v>0.11205562480286307</v>
      </c>
      <c r="E56" s="28">
        <f ca="1">C56/D56</f>
        <v>-2.4424377793182833E-2</v>
      </c>
      <c r="F56" s="29">
        <f ca="1">(C56-$N$10)/D56</f>
        <v>-3.3352980605121471E-2</v>
      </c>
      <c r="G56" s="29">
        <f ca="1">(C56-$N$11)/D56</f>
        <v>-2.8887563123822946E-2</v>
      </c>
      <c r="J56" t="s">
        <v>59</v>
      </c>
      <c r="K56">
        <f>L51</f>
        <v>1.7527032772640199E-3</v>
      </c>
      <c r="L56">
        <f>L50</f>
        <v>2.1277232848170009E-3</v>
      </c>
      <c r="M56">
        <f ca="1">L57</f>
        <v>1.9388556487119823E-36</v>
      </c>
    </row>
    <row r="57" spans="1:15">
      <c r="A57" s="14">
        <f t="shared" si="3"/>
        <v>1.8000000000000014</v>
      </c>
      <c r="B57" s="26">
        <f t="shared" si="0"/>
        <v>-0.80000000000000138</v>
      </c>
      <c r="C57" s="12">
        <f t="shared" ca="1" si="1"/>
        <v>-2.770838871825677E-3</v>
      </c>
      <c r="D57" s="12">
        <f t="shared" ca="1" si="2"/>
        <v>0.11412535172811297</v>
      </c>
      <c r="E57" s="28">
        <f ca="1">C57/D57</f>
        <v>-2.4278907621041089E-2</v>
      </c>
      <c r="F57" s="29">
        <f ca="1">(C57-$N$10)/D57</f>
        <v>-3.3045585239629555E-2</v>
      </c>
      <c r="G57" s="29">
        <f ca="1">(C57-$N$11)/D57</f>
        <v>-2.8661150595654883E-2</v>
      </c>
      <c r="J57" t="s">
        <v>61</v>
      </c>
      <c r="K57">
        <f ca="1">_xlfn.COVARIANCE.S(WEEKLY_RETURNS!C3:C152,WEEKLY_RETURNS!H3:H152)</f>
        <v>1.2925704324746549E-36</v>
      </c>
      <c r="L57">
        <f ca="1">_xlfn.COVARIANCE.S(WEEKLY_RETURNS!G3:G152, WEEKLY_RETURNS!H3:H152)</f>
        <v>1.9388556487119823E-36</v>
      </c>
      <c r="M57">
        <f>_xlfn.COVARIANCE.S(WEEKLY_RETURNS!H3:H152, WEEKLY_RETURNS!H3:H152)</f>
        <v>4.2601808687519145E-37</v>
      </c>
    </row>
    <row r="58" spans="1:15">
      <c r="A58" s="14">
        <f t="shared" si="3"/>
        <v>1.8500000000000014</v>
      </c>
      <c r="B58" s="26">
        <f t="shared" si="0"/>
        <v>-0.85000000000000142</v>
      </c>
      <c r="C58" s="12">
        <f t="shared" ca="1" si="1"/>
        <v>-2.8047888296150779E-3</v>
      </c>
      <c r="D58" s="12">
        <f t="shared" ca="1" si="2"/>
        <v>0.11626749270762628</v>
      </c>
      <c r="E58" s="28">
        <f ca="1">C58/D58</f>
        <v>-2.4123585744367779E-2</v>
      </c>
      <c r="F58" s="29">
        <f ca="1">(C58-$N$10)/D58</f>
        <v>-3.2728743930966905E-2</v>
      </c>
      <c r="G58" s="29">
        <f ca="1">(C58-$N$11)/D58</f>
        <v>-2.8425089192915497E-2</v>
      </c>
    </row>
    <row r="59" spans="1:15">
      <c r="A59" s="14">
        <f t="shared" si="3"/>
        <v>1.9000000000000015</v>
      </c>
      <c r="B59" s="26">
        <f t="shared" si="0"/>
        <v>-0.90000000000000147</v>
      </c>
      <c r="C59" s="12">
        <f t="shared" ca="1" si="1"/>
        <v>-2.8387387874044784E-3</v>
      </c>
      <c r="D59" s="12">
        <f t="shared" ca="1" si="2"/>
        <v>0.11847811996447835</v>
      </c>
      <c r="E59" s="28">
        <f ca="1">C59/D59</f>
        <v>-2.3960025600132565E-2</v>
      </c>
      <c r="F59" s="29">
        <f ca="1">(C59-$N$10)/D59</f>
        <v>-3.2404624206257907E-2</v>
      </c>
      <c r="G59" s="29">
        <f ca="1">(C59-$N$11)/D59</f>
        <v>-2.8181269328390546E-2</v>
      </c>
      <c r="K59" t="s">
        <v>58</v>
      </c>
      <c r="L59" t="s">
        <v>62</v>
      </c>
      <c r="M59" t="s">
        <v>60</v>
      </c>
    </row>
    <row r="60" spans="1:15">
      <c r="A60" s="14">
        <f t="shared" si="3"/>
        <v>1.9500000000000015</v>
      </c>
      <c r="B60" s="26">
        <f t="shared" si="0"/>
        <v>-0.95000000000000151</v>
      </c>
      <c r="C60" s="12">
        <f t="shared" ca="1" si="1"/>
        <v>-2.8726887451938792E-3</v>
      </c>
      <c r="D60" s="12">
        <f t="shared" ca="1" si="2"/>
        <v>0.12075347223357047</v>
      </c>
      <c r="E60" s="28">
        <f ca="1">C60/D60</f>
        <v>-2.3789698896917084E-2</v>
      </c>
      <c r="F60" s="29">
        <f ca="1">(C60-$N$10)/D60</f>
        <v>-3.2075176309716791E-2</v>
      </c>
      <c r="G60" s="29">
        <f ca="1">(C60-$N$11)/D60</f>
        <v>-2.7931401918661017E-2</v>
      </c>
      <c r="J60" t="s">
        <v>63</v>
      </c>
      <c r="K60" s="11">
        <f ca="1">AVERAGE(WEEKLY_RETURNS!C3:C152)</f>
        <v>-2.2276395471952631E-3</v>
      </c>
      <c r="L60" s="11">
        <f ca="1">AVERAGE(WEEKLY_RETURNS!G3:G152)</f>
        <v>-1.5486403914072471E-3</v>
      </c>
      <c r="M60" s="11">
        <f>O49</f>
        <v>1E-3</v>
      </c>
    </row>
    <row r="61" spans="1:15">
      <c r="A61" s="14">
        <f t="shared" si="3"/>
        <v>2.0000000000000013</v>
      </c>
      <c r="B61" s="26">
        <f t="shared" si="0"/>
        <v>-1.0000000000000013</v>
      </c>
      <c r="C61" s="12">
        <f t="shared" ca="1" si="1"/>
        <v>-2.9066387029832797E-3</v>
      </c>
      <c r="D61" s="12">
        <f t="shared" ca="1" si="2"/>
        <v>0.12308996018748646</v>
      </c>
      <c r="E61" s="28">
        <f ca="1">C61/D61</f>
        <v>-2.3613938119372093E-2</v>
      </c>
      <c r="F61" s="29">
        <f ca="1">(C61-$N$10)/D61</f>
        <v>-3.1742140981607624E-2</v>
      </c>
      <c r="G61" s="29">
        <f ca="1">(C61-$N$11)/D61</f>
        <v>-2.7677023525152365E-2</v>
      </c>
      <c r="J61" t="s">
        <v>64</v>
      </c>
      <c r="K61">
        <f>K55</f>
        <v>7.4415422216118771E-3</v>
      </c>
      <c r="L61">
        <f>L56</f>
        <v>2.1277232848170009E-3</v>
      </c>
      <c r="M61">
        <f>M57</f>
        <v>4.2601808687519145E-37</v>
      </c>
    </row>
    <row r="62" spans="1:15">
      <c r="A62" s="14">
        <f t="shared" si="3"/>
        <v>2.0500000000000012</v>
      </c>
      <c r="B62" s="26">
        <f t="shared" si="0"/>
        <v>-1.0500000000000012</v>
      </c>
      <c r="C62" s="12">
        <f t="shared" ca="1" si="1"/>
        <v>-2.9405886607726806E-3</v>
      </c>
      <c r="D62" s="12">
        <f t="shared" ca="1" si="2"/>
        <v>0.12548416887319799</v>
      </c>
      <c r="E62" s="28">
        <f ca="1">C62/D62</f>
        <v>-2.3433941406139858E-2</v>
      </c>
      <c r="F62" s="29">
        <f ca="1">(C62-$N$10)/D62</f>
        <v>-3.1407060052838567E-2</v>
      </c>
      <c r="G62" s="29">
        <f ca="1">(C62-$N$11)/D62</f>
        <v>-2.7419504089678273E-2</v>
      </c>
      <c r="J62" t="s">
        <v>65</v>
      </c>
      <c r="K62" s="11">
        <v>1</v>
      </c>
      <c r="L62" s="11">
        <v>0</v>
      </c>
      <c r="M62" s="11">
        <v>0</v>
      </c>
      <c r="N62" s="11">
        <f>SUM(K62:M62)</f>
        <v>1</v>
      </c>
    </row>
    <row r="63" spans="1:15">
      <c r="A63" s="14">
        <f t="shared" si="3"/>
        <v>2.100000000000001</v>
      </c>
      <c r="B63" s="26">
        <f t="shared" si="0"/>
        <v>-1.100000000000001</v>
      </c>
      <c r="C63" s="12">
        <f t="shared" ca="1" si="1"/>
        <v>-2.974538618562081E-3</v>
      </c>
      <c r="D63" s="12">
        <f t="shared" ca="1" si="2"/>
        <v>0.12793285767536233</v>
      </c>
      <c r="E63" s="28">
        <f ca="1">C63/D63</f>
        <v>-2.3250779140024838E-2</v>
      </c>
      <c r="F63" s="29">
        <f ca="1">(C63-$N$10)/D63</f>
        <v>-3.1071288936243228E-2</v>
      </c>
      <c r="G63" s="29">
        <f ca="1">(C63-$N$11)/D63</f>
        <v>-2.7160056474429026E-2</v>
      </c>
      <c r="J63" t="s">
        <v>66</v>
      </c>
      <c r="K63">
        <f ca="1">SUMPRODUCT(K60:M60, K62:M62)</f>
        <v>-2.2276395471952631E-3</v>
      </c>
    </row>
    <row r="64" spans="1:15">
      <c r="A64" s="14">
        <f t="shared" si="3"/>
        <v>2.1500000000000008</v>
      </c>
      <c r="B64" s="26">
        <f t="shared" si="0"/>
        <v>-1.1500000000000008</v>
      </c>
      <c r="C64" s="12">
        <f t="shared" ca="1" si="1"/>
        <v>-3.0084885763514823E-3</v>
      </c>
      <c r="D64" s="12">
        <f t="shared" ca="1" si="2"/>
        <v>0.13043295827557819</v>
      </c>
      <c r="E64" s="28">
        <f ca="1">C64/D64</f>
        <v>-2.3065401690845352E-2</v>
      </c>
      <c r="F64" s="29">
        <f ca="1">(C64-$N$10)/D64</f>
        <v>-3.0736010254323091E-2</v>
      </c>
      <c r="G64" s="29">
        <f ca="1">(C64-$N$11)/D64</f>
        <v>-2.6899747146532933E-2</v>
      </c>
    </row>
    <row r="65" spans="1:13">
      <c r="A65" s="14">
        <f t="shared" si="3"/>
        <v>2.2000000000000006</v>
      </c>
      <c r="B65" s="26">
        <f t="shared" si="0"/>
        <v>-1.2000000000000006</v>
      </c>
      <c r="C65" s="12">
        <f t="shared" ca="1" si="1"/>
        <v>-3.0424385341408823E-3</v>
      </c>
      <c r="D65" s="12">
        <f t="shared" ca="1" si="2"/>
        <v>0.13298157102546165</v>
      </c>
      <c r="E65" s="28">
        <f ca="1">C65/D65</f>
        <v>-2.2878647850824038E-2</v>
      </c>
      <c r="F65" s="29">
        <f ca="1">(C65-$N$10)/D65</f>
        <v>-3.0402247993258972E-2</v>
      </c>
      <c r="G65" s="29">
        <f ca="1">(C65-$N$11)/D65</f>
        <v>-2.6639507472042478E-2</v>
      </c>
      <c r="K65">
        <f ca="1">K62*(K55*K62+(L62)*K56+K57*M62)</f>
        <v>7.4415422216118771E-3</v>
      </c>
      <c r="L65">
        <f ca="1">K62*(L55*L62+(L62)*L56+L57*M62)</f>
        <v>0</v>
      </c>
      <c r="M65">
        <f ca="1">K62*(M55*M62+(L62)*M56+M57*M62)</f>
        <v>0</v>
      </c>
    </row>
    <row r="66" spans="1:13">
      <c r="A66" s="14">
        <f t="shared" si="3"/>
        <v>2.2500000000000004</v>
      </c>
      <c r="B66" s="26">
        <f t="shared" si="0"/>
        <v>-1.2500000000000004</v>
      </c>
      <c r="C66" s="12">
        <f t="shared" ca="1" si="1"/>
        <v>-3.0763884919302836E-3</v>
      </c>
      <c r="D66" s="12">
        <f t="shared" ca="1" si="2"/>
        <v>0.13557596009849249</v>
      </c>
      <c r="E66" s="28">
        <f ca="1">C66/D66</f>
        <v>-2.2691253594629649E-2</v>
      </c>
      <c r="F66" s="29">
        <f ca="1">(C66-$N$10)/D66</f>
        <v>-3.0070881708504315E-2</v>
      </c>
      <c r="G66" s="29">
        <f ca="1">(C66-$N$11)/D66</f>
        <v>-2.6380145198071164E-2</v>
      </c>
    </row>
    <row r="67" spans="1:13">
      <c r="A67" s="14">
        <f t="shared" si="3"/>
        <v>2.3000000000000003</v>
      </c>
      <c r="B67" s="26">
        <f t="shared" ref="B67:B81" si="4">100%-A67</f>
        <v>-1.3000000000000003</v>
      </c>
      <c r="C67" s="12">
        <f t="shared" ref="C67:C81" ca="1" si="5">A67*$I$2 + B67*$M$2</f>
        <v>-3.1103384497196841E-3</v>
      </c>
      <c r="D67" s="12">
        <f t="shared" ref="D67:D81" ca="1" si="6">SQRT((A67^2)*($I$3^2) + (B67^2)*($M$3^2) + 2*A67*B67*$I$3*$M$3*$N$9)</f>
        <v>0.13821354773394365</v>
      </c>
      <c r="E67" s="28">
        <f ca="1">C67/D67</f>
        <v>-2.2503860878435589E-2</v>
      </c>
      <c r="F67" s="29">
        <f ca="1">(C67-$N$10)/D67</f>
        <v>-2.9742660425310059E-2</v>
      </c>
      <c r="G67" s="29">
        <f ca="1">(C67-$N$11)/D67</f>
        <v>-2.6122355801947533E-2</v>
      </c>
    </row>
    <row r="68" spans="1:13">
      <c r="A68" s="14">
        <f t="shared" si="3"/>
        <v>2.35</v>
      </c>
      <c r="B68" s="26">
        <f t="shared" si="4"/>
        <v>-1.35</v>
      </c>
      <c r="C68" s="12">
        <f t="shared" ca="1" si="5"/>
        <v>-3.1442884075090849E-3</v>
      </c>
      <c r="D68" s="12">
        <f t="shared" ca="1" si="6"/>
        <v>0.14089190783762282</v>
      </c>
      <c r="E68" s="28">
        <f ca="1">C68/D68</f>
        <v>-2.231702626337391E-2</v>
      </c>
      <c r="F68" s="29">
        <f ca="1">(C68-$N$10)/D68</f>
        <v>-2.9418215977274696E-2</v>
      </c>
      <c r="G68" s="29">
        <f ca="1">(C68-$N$11)/D68</f>
        <v>-2.5866733471627792E-2</v>
      </c>
    </row>
    <row r="69" spans="1:13">
      <c r="A69" s="14">
        <f t="shared" ref="A69:A81" si="7">A68+5%</f>
        <v>2.4</v>
      </c>
      <c r="B69" s="26">
        <f t="shared" si="4"/>
        <v>-1.4</v>
      </c>
      <c r="C69" s="12">
        <f t="shared" ca="1" si="5"/>
        <v>-3.1782383652984854E-3</v>
      </c>
      <c r="D69" s="12">
        <f t="shared" ca="1" si="6"/>
        <v>0.14360875915971913</v>
      </c>
      <c r="E69" s="28">
        <f ca="1">C69/D69</f>
        <v>-2.2131229208405767E-2</v>
      </c>
      <c r="F69" s="29">
        <f ca="1">(C69-$N$10)/D69</f>
        <v>-2.9098075608043873E-2</v>
      </c>
      <c r="G69" s="29">
        <f ca="1">(C69-$N$11)/D69</f>
        <v>-2.5613781552442254E-2</v>
      </c>
    </row>
    <row r="70" spans="1:13">
      <c r="A70" s="14">
        <f t="shared" si="7"/>
        <v>2.4499999999999997</v>
      </c>
      <c r="B70" s="26">
        <f t="shared" si="4"/>
        <v>-1.4499999999999997</v>
      </c>
      <c r="C70" s="12">
        <f t="shared" ca="1" si="5"/>
        <v>-3.2121883230878858E-3</v>
      </c>
      <c r="D70" s="12">
        <f t="shared" ca="1" si="6"/>
        <v>0.14636195823030723</v>
      </c>
      <c r="E70" s="28">
        <f ca="1">C70/D70</f>
        <v>-2.1946879926499484E-2</v>
      </c>
      <c r="F70" s="29">
        <f ca="1">(C70-$N$10)/D70</f>
        <v>-2.8782673727058315E-2</v>
      </c>
      <c r="G70" s="29">
        <f ca="1">(C70-$N$11)/D70</f>
        <v>-2.5363922352570893E-2</v>
      </c>
    </row>
    <row r="71" spans="1:13">
      <c r="A71" s="14">
        <f t="shared" si="7"/>
        <v>2.4999999999999996</v>
      </c>
      <c r="B71" s="26">
        <f t="shared" si="4"/>
        <v>-1.4999999999999996</v>
      </c>
      <c r="C71" s="12">
        <f t="shared" ca="1" si="5"/>
        <v>-3.2461382808772867E-3</v>
      </c>
      <c r="D71" s="12">
        <f t="shared" ca="1" si="6"/>
        <v>0.14914949219817394</v>
      </c>
      <c r="E71" s="28">
        <f ca="1">C71/D71</f>
        <v>-2.1764326737124685E-2</v>
      </c>
      <c r="F71" s="29">
        <f ca="1">(C71-$N$10)/D71</f>
        <v>-2.8472362761672636E-2</v>
      </c>
      <c r="G71" s="29">
        <f ca="1">(C71-$N$11)/D71</f>
        <v>-2.5117506244912335E-2</v>
      </c>
    </row>
    <row r="72" spans="1:13">
      <c r="A72" s="14">
        <f t="shared" si="7"/>
        <v>2.5499999999999994</v>
      </c>
      <c r="B72" s="26">
        <f t="shared" si="4"/>
        <v>-1.5499999999999994</v>
      </c>
      <c r="C72" s="12">
        <f t="shared" ca="1" si="5"/>
        <v>-3.2800882386666871E-3</v>
      </c>
      <c r="D72" s="12">
        <f t="shared" ca="1" si="6"/>
        <v>0.15196947168850414</v>
      </c>
      <c r="E72" s="28">
        <f ca="1">C72/D72</f>
        <v>-2.1583862878657441E-2</v>
      </c>
      <c r="F72" s="29">
        <f ca="1">(C72-$N$10)/D72</f>
        <v>-2.8167423087112575E-2</v>
      </c>
      <c r="G72" s="29">
        <f ca="1">(C72-$N$11)/D72</f>
        <v>-2.4874820037875382E-2</v>
      </c>
    </row>
    <row r="73" spans="1:13">
      <c r="A73" s="14">
        <f t="shared" si="7"/>
        <v>2.5999999999999992</v>
      </c>
      <c r="B73" s="26">
        <f t="shared" si="4"/>
        <v>-1.5999999999999992</v>
      </c>
      <c r="C73" s="12">
        <f t="shared" ca="1" si="5"/>
        <v>-3.3140381964560884E-3</v>
      </c>
      <c r="D73" s="12">
        <f t="shared" ca="1" si="6"/>
        <v>0.15482012376929541</v>
      </c>
      <c r="E73" s="28">
        <f ca="1">C73/D73</f>
        <v>-2.1405732767624506E-2</v>
      </c>
      <c r="F73" s="29">
        <f ca="1">(C73-$N$10)/D73</f>
        <v>-2.7868072044650766E-2</v>
      </c>
      <c r="G73" s="29">
        <f ca="1">(C73-$N$11)/D73</f>
        <v>-2.463609461374414E-2</v>
      </c>
    </row>
    <row r="74" spans="1:13">
      <c r="A74" s="14">
        <f t="shared" si="7"/>
        <v>2.649999999999999</v>
      </c>
      <c r="B74" s="26">
        <f t="shared" si="4"/>
        <v>-1.649999999999999</v>
      </c>
      <c r="C74" s="12">
        <f t="shared" ca="1" si="5"/>
        <v>-3.3479881542454884E-3</v>
      </c>
      <c r="D74" s="12">
        <f t="shared" ca="1" si="6"/>
        <v>0.15769978509479257</v>
      </c>
      <c r="E74" s="28">
        <f ca="1">C74/D74</f>
        <v>-2.1230137709021157E-2</v>
      </c>
      <c r="F74" s="29">
        <f ca="1">(C74-$N$10)/D74</f>
        <v>-2.7574472078956976E-2</v>
      </c>
      <c r="G74" s="29">
        <f ca="1">(C74-$N$11)/D74</f>
        <v>-2.4401511852208659E-2</v>
      </c>
    </row>
    <row r="75" spans="1:13">
      <c r="A75" s="14">
        <f t="shared" si="7"/>
        <v>2.6999999999999988</v>
      </c>
      <c r="B75" s="26">
        <f t="shared" si="4"/>
        <v>-1.6999999999999988</v>
      </c>
      <c r="C75" s="12">
        <f t="shared" ca="1" si="5"/>
        <v>-3.3819381120348897E-3</v>
      </c>
      <c r="D75" s="12">
        <f t="shared" ca="1" si="6"/>
        <v>0.16060689527630681</v>
      </c>
      <c r="E75" s="28">
        <f ca="1">C75/D75</f>
        <v>-2.1057241074342609E-2</v>
      </c>
      <c r="F75" s="29">
        <f ca="1">(C75-$N$10)/D75</f>
        <v>-2.7286738039507971E-2</v>
      </c>
      <c r="G75" s="29">
        <f ca="1">(C75-$N$11)/D75</f>
        <v>-2.4171210869820194E-2</v>
      </c>
    </row>
    <row r="76" spans="1:13">
      <c r="A76" s="14">
        <f t="shared" si="7"/>
        <v>2.7499999999999987</v>
      </c>
      <c r="B76" s="26">
        <f t="shared" si="4"/>
        <v>-1.7499999999999987</v>
      </c>
      <c r="C76" s="12">
        <f t="shared" ca="1" si="5"/>
        <v>-3.4158880698242902E-3</v>
      </c>
      <c r="D76" s="12">
        <f t="shared" ca="1" si="6"/>
        <v>0.16353999051605805</v>
      </c>
      <c r="E76" s="28">
        <f ca="1">C76/D76</f>
        <v>-2.088717297246561E-2</v>
      </c>
      <c r="F76" s="29">
        <f ca="1">(C76-$N$10)/D76</f>
        <v>-2.7004943699681993E-2</v>
      </c>
      <c r="G76" s="29">
        <f ca="1">(C76-$N$11)/D76</f>
        <v>-2.3945293614748168E-2</v>
      </c>
    </row>
    <row r="77" spans="1:13">
      <c r="A77" s="14">
        <f t="shared" si="7"/>
        <v>2.7999999999999985</v>
      </c>
      <c r="B77" s="26">
        <f t="shared" si="4"/>
        <v>-1.7999999999999985</v>
      </c>
      <c r="C77" s="12">
        <f t="shared" ca="1" si="5"/>
        <v>-3.4498380276136911E-3</v>
      </c>
      <c r="D77" s="12">
        <f t="shared" ca="1" si="6"/>
        <v>0.16649769752773483</v>
      </c>
      <c r="E77" s="28">
        <f ca="1">C77/D77</f>
        <v>-2.0720034443953945E-2</v>
      </c>
      <c r="F77" s="29">
        <f ca="1">(C77-$N$10)/D77</f>
        <v>-2.6729127551933549E-2</v>
      </c>
      <c r="G77" s="29">
        <f ca="1">(C77-$N$11)/D77</f>
        <v>-2.372382986132025E-2</v>
      </c>
    </row>
    <row r="78" spans="1:13">
      <c r="A78" s="14">
        <f t="shared" si="7"/>
        <v>2.8499999999999983</v>
      </c>
      <c r="B78" s="26">
        <f t="shared" si="4"/>
        <v>-1.8499999999999983</v>
      </c>
      <c r="C78" s="12">
        <f t="shared" ca="1" si="5"/>
        <v>-3.4837879854030915E-3</v>
      </c>
      <c r="D78" s="12">
        <f t="shared" ca="1" si="6"/>
        <v>0.16947872775787745</v>
      </c>
      <c r="E78" s="28">
        <f ca="1">C78/D78</f>
        <v>-2.0555901212452685E-2</v>
      </c>
      <c r="F78" s="29">
        <f ca="1">(C78-$N$10)/D78</f>
        <v>-2.6459297939254466E-2</v>
      </c>
      <c r="G78" s="29">
        <f ca="1">(C78-$N$11)/D78</f>
        <v>-2.3506861651277459E-2</v>
      </c>
    </row>
    <row r="79" spans="1:13">
      <c r="A79" s="14">
        <f t="shared" si="7"/>
        <v>2.8999999999999981</v>
      </c>
      <c r="B79" s="26">
        <f t="shared" si="4"/>
        <v>-1.8999999999999981</v>
      </c>
      <c r="C79" s="12">
        <f t="shared" ca="1" si="5"/>
        <v>-3.5177379431924919E-3</v>
      </c>
      <c r="D79" s="12">
        <f t="shared" ca="1" si="6"/>
        <v>0.17248187191460854</v>
      </c>
      <c r="E79" s="28">
        <f ca="1">C79/D79</f>
        <v>-2.0394827028164652E-2</v>
      </c>
      <c r="F79" s="29">
        <f ca="1">(C79-$N$10)/D79</f>
        <v>-2.6195437582784024E-2</v>
      </c>
      <c r="G79" s="29">
        <f ca="1">(C79-$N$11)/D79</f>
        <v>-2.3294407229169489E-2</v>
      </c>
    </row>
    <row r="80" spans="1:13">
      <c r="A80" s="14">
        <f t="shared" si="7"/>
        <v>2.949999999999998</v>
      </c>
      <c r="B80" s="26">
        <f t="shared" si="4"/>
        <v>-1.949999999999998</v>
      </c>
      <c r="C80" s="12">
        <f t="shared" ca="1" si="5"/>
        <v>-3.5516879009818928E-3</v>
      </c>
      <c r="D80" s="12">
        <f t="shared" ca="1" si="6"/>
        <v>0.17550599480431731</v>
      </c>
      <c r="E80" s="28">
        <f ca="1">C80/D80</f>
        <v>-2.0236846638440432E-2</v>
      </c>
      <c r="F80" s="29">
        <f ca="1">(C80-$N$10)/D80</f>
        <v>-2.5937507563578092E-2</v>
      </c>
      <c r="G80" s="29">
        <f ca="1">(C80-$N$11)/D80</f>
        <v>-2.3086464518407849E-2</v>
      </c>
    </row>
    <row r="81" spans="1:7">
      <c r="A81" s="14">
        <f t="shared" si="7"/>
        <v>2.9999999999999978</v>
      </c>
      <c r="B81" s="26">
        <f t="shared" si="4"/>
        <v>-1.9999999999999978</v>
      </c>
      <c r="C81" s="12">
        <f t="shared" ca="1" si="5"/>
        <v>-3.5856378587712933E-3</v>
      </c>
      <c r="D81" s="12">
        <f t="shared" ca="1" si="6"/>
        <v>0.17855003047237378</v>
      </c>
      <c r="E81" s="28">
        <f ca="1">C81/D81</f>
        <v>-2.0081978419634505E-2</v>
      </c>
      <c r="F81" s="29">
        <f ca="1">(C81-$N$10)/D81</f>
        <v>-2.568545081368255E-2</v>
      </c>
      <c r="G81" s="29">
        <f ca="1">(C81-$N$11)/D81</f>
        <v>-2.2883014182623257E-2</v>
      </c>
    </row>
    <row r="82" spans="1:7">
      <c r="A82" s="11"/>
    </row>
    <row r="83" spans="1:7">
      <c r="A83" s="11"/>
    </row>
    <row r="84" spans="1:7">
      <c r="A84" s="11"/>
    </row>
    <row r="85" spans="1:7">
      <c r="A85" s="11"/>
      <c r="D85">
        <v>4.5884430110070429E-2</v>
      </c>
      <c r="E85">
        <v>2.0314543900156409E-2</v>
      </c>
      <c r="F85">
        <v>8.5254802087073769E-2</v>
      </c>
      <c r="G85">
        <v>9.6117646941548909E-2</v>
      </c>
    </row>
    <row r="86" spans="1:7">
      <c r="A86" s="11"/>
      <c r="D86">
        <v>4.5971272195474935E-2</v>
      </c>
      <c r="E86">
        <v>2.1002651005888599E-2</v>
      </c>
      <c r="F86">
        <v>8.5233128807160913E-2</v>
      </c>
      <c r="G86">
        <v>9.6042021235381872E-2</v>
      </c>
    </row>
    <row r="87" spans="1:7">
      <c r="A87" s="11"/>
      <c r="D87">
        <v>4.6127250951883692E-2</v>
      </c>
      <c r="E87">
        <v>2.1722030053018936E-2</v>
      </c>
      <c r="F87">
        <v>8.4698487372199455E-2</v>
      </c>
      <c r="G87">
        <v>9.5507407404033823E-2</v>
      </c>
    </row>
    <row r="88" spans="1:7">
      <c r="A88" s="11"/>
      <c r="D88">
        <v>4.6385925695318193E-2</v>
      </c>
      <c r="E88">
        <v>2.2474751291476296E-2</v>
      </c>
      <c r="F88">
        <v>8.4602288942886919E-2</v>
      </c>
      <c r="G88">
        <v>9.5317713534036619E-2</v>
      </c>
    </row>
    <row r="89" spans="1:7">
      <c r="A89" s="11"/>
      <c r="D89">
        <v>4.6694592072602924E-2</v>
      </c>
      <c r="E89">
        <v>2.3263059732170261E-2</v>
      </c>
      <c r="F89">
        <v>8.362697862198773E-2</v>
      </c>
      <c r="G89">
        <v>9.4216657616203528E-2</v>
      </c>
    </row>
    <row r="90" spans="1:7">
      <c r="A90" s="11"/>
      <c r="D90">
        <v>4.7119737186760061E-2</v>
      </c>
      <c r="E90">
        <v>2.4089392243004479E-2</v>
      </c>
      <c r="F90">
        <v>8.3368945351831092E-2</v>
      </c>
      <c r="G90">
        <v>9.4017233741340286E-2</v>
      </c>
    </row>
    <row r="91" spans="1:7">
      <c r="A91" s="11"/>
      <c r="D91">
        <v>4.7574844948482548E-2</v>
      </c>
      <c r="E91">
        <v>2.4956396368047147E-2</v>
      </c>
      <c r="F91">
        <v>8.2124280644113312E-2</v>
      </c>
      <c r="G91">
        <v>9.2293511263476707E-2</v>
      </c>
    </row>
    <row r="92" spans="1:7">
      <c r="A92" s="11"/>
      <c r="D92">
        <v>4.8158119326690091E-2</v>
      </c>
      <c r="E92">
        <v>2.5866950997823698E-2</v>
      </c>
      <c r="F92">
        <v>8.1577599127558964E-2</v>
      </c>
      <c r="G92">
        <v>9.223656676667237E-2</v>
      </c>
    </row>
    <row r="93" spans="1:7">
      <c r="A93" s="11"/>
      <c r="D93">
        <v>4.875106265010172E-2</v>
      </c>
      <c r="E93">
        <v>2.6824189003704965E-2</v>
      </c>
      <c r="F93">
        <v>8.0283960572260837E-2</v>
      </c>
      <c r="G93">
        <v>9.0082002028626956E-2</v>
      </c>
    </row>
    <row r="94" spans="1:7">
      <c r="A94" s="11"/>
      <c r="D94">
        <v>4.9481901501606911E-2</v>
      </c>
      <c r="E94">
        <v>2.7831521920529963E-2</v>
      </c>
      <c r="F94">
        <v>7.9304203036187557E-2</v>
      </c>
      <c r="G94">
        <v>8.9821844163854414E-2</v>
      </c>
    </row>
    <row r="95" spans="1:7">
      <c r="A95" s="11"/>
      <c r="D95">
        <v>5.0202446571384902E-2</v>
      </c>
      <c r="E95">
        <v>2.8892666712568189E-2</v>
      </c>
      <c r="F95">
        <v>7.819885402510067E-2</v>
      </c>
      <c r="G95">
        <v>8.7658561760015782E-2</v>
      </c>
    </row>
    <row r="96" spans="1:7">
      <c r="A96" s="11"/>
      <c r="D96">
        <v>5.1068894543962476E-2</v>
      </c>
      <c r="E96">
        <v>3.0011674579764915E-2</v>
      </c>
      <c r="F96">
        <v>7.6645254683237449E-2</v>
      </c>
      <c r="G96">
        <v>8.6909136508006038E-2</v>
      </c>
    </row>
    <row r="97" spans="1:7">
      <c r="A97" s="11"/>
      <c r="D97">
        <v>5.1905919398349862E-2</v>
      </c>
      <c r="E97">
        <v>3.1192961641427541E-2</v>
      </c>
      <c r="F97">
        <v>7.5953635098744143E-2</v>
      </c>
      <c r="G97">
        <v>8.5061703352905998E-2</v>
      </c>
    </row>
    <row r="98" spans="1:7">
      <c r="A98" s="11"/>
      <c r="D98">
        <v>5.2895412828208609E-2</v>
      </c>
      <c r="E98">
        <v>3.2441341155675332E-2</v>
      </c>
      <c r="F98">
        <v>7.3705373249488337E-2</v>
      </c>
      <c r="G98">
        <v>8.3672519873727647E-2</v>
      </c>
    </row>
    <row r="99" spans="1:7">
      <c r="A99" s="11"/>
      <c r="D99">
        <v>5.3837557429919254E-2</v>
      </c>
      <c r="E99">
        <v>3.3762056670870663E-2</v>
      </c>
      <c r="F99">
        <v>7.3620586728864248E-2</v>
      </c>
      <c r="G99">
        <v>8.2372647490967066E-2</v>
      </c>
    </row>
    <row r="100" spans="1:7">
      <c r="A100" s="11"/>
      <c r="D100">
        <v>5.4937570943640164E-2</v>
      </c>
      <c r="E100">
        <v>3.5160815126370717E-2</v>
      </c>
      <c r="F100">
        <v>7.1258098202200387E-2</v>
      </c>
      <c r="G100">
        <v>8.022625755227919E-2</v>
      </c>
    </row>
    <row r="101" spans="1:7">
      <c r="A101" s="11"/>
      <c r="D101">
        <v>5.5973743898799021E-2</v>
      </c>
      <c r="E101">
        <v>3.6643818378162642E-2</v>
      </c>
      <c r="F101">
        <v>7.0586217424438963E-2</v>
      </c>
      <c r="G101">
        <v>7.9656777577912147E-2</v>
      </c>
    </row>
    <row r="102" spans="1:7">
      <c r="A102" s="11"/>
      <c r="D102">
        <v>5.7172265992393563E-2</v>
      </c>
      <c r="E102">
        <v>3.8217790857217326E-2</v>
      </c>
      <c r="F102">
        <v>6.8911073382774107E-2</v>
      </c>
      <c r="G102">
        <v>7.696417816684821E-2</v>
      </c>
    </row>
    <row r="103" spans="1:7">
      <c r="A103" s="11"/>
      <c r="D103">
        <v>5.8291995305302859E-2</v>
      </c>
      <c r="E103">
        <v>3.9889999989290388E-2</v>
      </c>
      <c r="F103">
        <v>6.7378520406970024E-2</v>
      </c>
      <c r="G103">
        <v>7.6672685479816718E-2</v>
      </c>
    </row>
    <row r="104" spans="1:7">
      <c r="A104" s="11"/>
      <c r="D104">
        <v>5.957783640599186E-2</v>
      </c>
      <c r="E104">
        <v>4.0666979438279981E-2</v>
      </c>
      <c r="F104">
        <v>6.6612438424747691E-2</v>
      </c>
      <c r="G104">
        <v>7.4331393707326943E-2</v>
      </c>
    </row>
    <row r="105" spans="1:7">
      <c r="A105" s="11"/>
      <c r="D105">
        <v>6.077147951050052E-2</v>
      </c>
      <c r="E105">
        <v>4.1429552687443992E-2</v>
      </c>
      <c r="F105">
        <v>6.4385116243478979E-2</v>
      </c>
      <c r="G105">
        <v>7.3097175077464591E-2</v>
      </c>
    </row>
    <row r="106" spans="1:7">
      <c r="A106" s="11"/>
      <c r="D106">
        <v>6.2134438739960336E-2</v>
      </c>
      <c r="E106">
        <v>4.1668264500105301E-2</v>
      </c>
      <c r="F106">
        <v>6.4157713268777727E-2</v>
      </c>
      <c r="G106">
        <v>7.1783695113756887E-2</v>
      </c>
    </row>
    <row r="107" spans="1:7">
      <c r="A107" s="11"/>
      <c r="D107">
        <v>6.3393280572262109E-2</v>
      </c>
      <c r="E107">
        <v>4.2228040019369063E-2</v>
      </c>
      <c r="F107">
        <v>6.2244052158651364E-2</v>
      </c>
      <c r="G107">
        <v>6.9566584330467807E-2</v>
      </c>
    </row>
    <row r="108" spans="1:7">
      <c r="A108" s="11"/>
      <c r="D108">
        <v>6.4824205809537391E-2</v>
      </c>
      <c r="E108">
        <v>4.3064855335671164E-2</v>
      </c>
      <c r="F108">
        <v>6.0982641659577383E-2</v>
      </c>
      <c r="G108">
        <v>6.9337388829348201E-2</v>
      </c>
    </row>
    <row r="109" spans="1:7">
      <c r="A109" s="11"/>
      <c r="D109">
        <v>6.6140476382685109E-2</v>
      </c>
      <c r="E109">
        <v>4.356094364910227E-2</v>
      </c>
      <c r="F109">
        <v>6.0198060052750274E-2</v>
      </c>
      <c r="G109">
        <v>6.7001912157664725E-2</v>
      </c>
    </row>
    <row r="110" spans="1:7">
      <c r="A110" s="11"/>
      <c r="D110">
        <v>6.7631251169420661E-2</v>
      </c>
      <c r="E110">
        <v>4.3942611259809382E-2</v>
      </c>
      <c r="F110">
        <v>5.8251388947452777E-2</v>
      </c>
      <c r="G110">
        <v>6.6130156600664833E-2</v>
      </c>
    </row>
    <row r="111" spans="1:7">
      <c r="A111" s="11"/>
      <c r="D111">
        <v>6.8998090590538338E-2</v>
      </c>
      <c r="E111">
        <v>4.4864136284973155E-2</v>
      </c>
      <c r="F111">
        <v>5.7896439898308172E-2</v>
      </c>
      <c r="G111">
        <v>6.4781605495250652E-2</v>
      </c>
    </row>
    <row r="112" spans="1:7">
      <c r="A112" s="11"/>
      <c r="D112">
        <v>7.0541575721285735E-2</v>
      </c>
      <c r="E112">
        <v>4.5576897585679968E-2</v>
      </c>
      <c r="F112">
        <v>5.6404989884827721E-2</v>
      </c>
      <c r="G112">
        <v>6.2821798629426759E-2</v>
      </c>
    </row>
    <row r="113" spans="1:7">
      <c r="A113" s="11"/>
      <c r="D113">
        <v>7.1952968588852306E-2</v>
      </c>
      <c r="E113">
        <v>4.5832492897126285E-2</v>
      </c>
      <c r="F113">
        <v>5.4928609613878729E-2</v>
      </c>
      <c r="G113">
        <v>6.2677141576241241E-2</v>
      </c>
    </row>
    <row r="114" spans="1:7">
      <c r="A114" s="11"/>
      <c r="D114">
        <v>7.3542919239986251E-2</v>
      </c>
      <c r="E114">
        <v>4.685099647145647E-2</v>
      </c>
      <c r="F114">
        <v>5.465750537678684E-2</v>
      </c>
      <c r="G114">
        <v>6.068663887650122E-2</v>
      </c>
    </row>
    <row r="115" spans="1:7">
      <c r="A115" s="11"/>
      <c r="D115">
        <v>7.499361417449639E-2</v>
      </c>
      <c r="E115">
        <v>4.7725405166897709E-2</v>
      </c>
      <c r="F115">
        <v>5.3006021743340175E-2</v>
      </c>
      <c r="G115">
        <v>5.966289588576907E-2</v>
      </c>
    </row>
    <row r="116" spans="1:7">
      <c r="A116" s="11"/>
      <c r="D116">
        <v>7.6624586981157775E-2</v>
      </c>
      <c r="E116">
        <v>4.7923234605076893E-2</v>
      </c>
      <c r="F116">
        <v>5.2097556577092322E-2</v>
      </c>
      <c r="G116">
        <v>5.8806506047355142E-2</v>
      </c>
    </row>
    <row r="117" spans="1:7">
      <c r="A117" s="11"/>
      <c r="D117">
        <v>7.8110011776690358E-2</v>
      </c>
      <c r="E117">
        <v>4.9053086357215565E-2</v>
      </c>
      <c r="F117">
        <v>5.1446628712956848E-2</v>
      </c>
      <c r="G117">
        <v>5.7032068328501648E-2</v>
      </c>
    </row>
    <row r="118" spans="1:7">
      <c r="A118" s="11"/>
      <c r="D118">
        <v>7.9777271101006672E-2</v>
      </c>
      <c r="E118">
        <v>5.0016020440994347E-2</v>
      </c>
      <c r="F118">
        <v>4.9974827618808254E-2</v>
      </c>
      <c r="G118">
        <v>5.6665115983330759E-2</v>
      </c>
    </row>
    <row r="119" spans="1:7">
      <c r="A119" s="11"/>
      <c r="D119">
        <v>8.1293449964636222E-2</v>
      </c>
      <c r="E119">
        <v>5.0244740599204869E-2</v>
      </c>
      <c r="F119">
        <v>4.9413101592933273E-2</v>
      </c>
      <c r="G119">
        <v>5.535802311110679E-2</v>
      </c>
    </row>
    <row r="120" spans="1:7">
      <c r="A120" s="11"/>
      <c r="D120">
        <v>8.2992878810236717E-2</v>
      </c>
      <c r="E120">
        <v>5.1502712301676294E-2</v>
      </c>
      <c r="F120">
        <v>4.8585823560540857E-2</v>
      </c>
      <c r="G120">
        <v>5.3832904070440793E-2</v>
      </c>
    </row>
    <row r="121" spans="1:7">
      <c r="A121" s="11"/>
      <c r="D121">
        <v>8.4536355310289663E-2</v>
      </c>
      <c r="E121">
        <v>5.2458342306493648E-2</v>
      </c>
      <c r="F121">
        <v>4.7274730292625008E-2</v>
      </c>
      <c r="G121">
        <v>5.3778764857925827E-2</v>
      </c>
    </row>
    <row r="122" spans="1:7">
      <c r="A122" s="11"/>
      <c r="D122">
        <v>8.6264373739652137E-2</v>
      </c>
      <c r="E122">
        <v>5.2831855066716032E-2</v>
      </c>
      <c r="F122">
        <v>4.6878706687262121E-2</v>
      </c>
      <c r="G122">
        <v>5.2288611979671794E-2</v>
      </c>
    </row>
    <row r="123" spans="1:7">
      <c r="A123" s="11"/>
      <c r="D123">
        <v>8.7832141188399229E-2</v>
      </c>
      <c r="E123">
        <v>5.4237367496301023E-2</v>
      </c>
      <c r="F123">
        <v>4.6036710455599303E-2</v>
      </c>
      <c r="G123">
        <v>5.1165552528043647E-2</v>
      </c>
    </row>
    <row r="124" spans="1:7">
      <c r="A124" s="11"/>
      <c r="D124">
        <v>8.9585633417277113E-2</v>
      </c>
      <c r="E124">
        <v>5.5061663389970983E-2</v>
      </c>
      <c r="F124">
        <v>4.4867068524580278E-2</v>
      </c>
      <c r="G124">
        <v>5.0881961240655471E-2</v>
      </c>
    </row>
    <row r="125" spans="1:7">
      <c r="A125" s="11"/>
      <c r="D125">
        <v>9.1175073221395744E-2</v>
      </c>
      <c r="E125">
        <v>5.5724790005872438E-2</v>
      </c>
      <c r="F125">
        <v>4.4493315813218137E-2</v>
      </c>
      <c r="G125">
        <v>4.9553389297788727E-2</v>
      </c>
    </row>
    <row r="126" spans="1:7">
      <c r="A126" s="11"/>
      <c r="D126">
        <v>9.2951323537923625E-2</v>
      </c>
      <c r="E126">
        <v>5.7299987352503662E-2</v>
      </c>
      <c r="F126">
        <v>4.3761309597858011E-2</v>
      </c>
      <c r="G126">
        <v>4.8658834745345186E-2</v>
      </c>
    </row>
    <row r="127" spans="1:7">
      <c r="A127" s="11"/>
      <c r="D127">
        <v>9.4560151346703508E-2</v>
      </c>
      <c r="E127">
        <v>5.7834453958399465E-2</v>
      </c>
      <c r="F127">
        <v>4.2715173810408069E-2</v>
      </c>
      <c r="G127">
        <v>4.8297716150447992E-2</v>
      </c>
    </row>
    <row r="128" spans="1:7">
      <c r="A128" s="11"/>
      <c r="D128">
        <v>9.6356788420564207E-2</v>
      </c>
      <c r="E128">
        <v>5.8969110333669347E-2</v>
      </c>
      <c r="F128">
        <v>4.2252803885907325E-2</v>
      </c>
      <c r="G128">
        <v>4.7110041498331659E-2</v>
      </c>
    </row>
    <row r="129" spans="1:7">
      <c r="A129" s="11"/>
      <c r="D129">
        <v>9.7983007522185694E-2</v>
      </c>
      <c r="E129">
        <v>6.0738527678444156E-2</v>
      </c>
      <c r="F129">
        <v>4.1724653593781635E-2</v>
      </c>
      <c r="G129">
        <v>4.6306247383059933E-2</v>
      </c>
    </row>
    <row r="130" spans="1:7">
      <c r="A130" s="11"/>
      <c r="D130">
        <v>9.9797956374845787E-2</v>
      </c>
      <c r="E130">
        <v>6.0783625224054671E-2</v>
      </c>
      <c r="F130">
        <v>4.078599906594528E-2</v>
      </c>
      <c r="G130">
        <v>4.5985762107347665E-2</v>
      </c>
    </row>
    <row r="131" spans="1:7">
      <c r="A131" s="11"/>
      <c r="D131">
        <v>0.10143981761650868</v>
      </c>
      <c r="E131">
        <v>6.2614715922299863E-2</v>
      </c>
      <c r="F131">
        <v>4.015107564302179E-2</v>
      </c>
      <c r="G131">
        <v>4.4920576097471195E-2</v>
      </c>
    </row>
    <row r="132" spans="1:7">
      <c r="A132" s="11"/>
      <c r="D132">
        <v>0.10327125840747023</v>
      </c>
      <c r="E132">
        <v>6.3913505272880644E-2</v>
      </c>
      <c r="F132">
        <v>3.9895715386320148E-2</v>
      </c>
      <c r="G132">
        <v>4.4099926483546714E-2</v>
      </c>
    </row>
    <row r="133" spans="1:7">
      <c r="A133" s="11"/>
      <c r="D133">
        <v>0.10492722586462019</v>
      </c>
      <c r="E133">
        <v>6.4604090834155317E-2</v>
      </c>
      <c r="F133">
        <v>3.9050554838196229E-2</v>
      </c>
      <c r="G133">
        <v>4.3910478435580831E-2</v>
      </c>
    </row>
    <row r="134" spans="1:7">
      <c r="A134" s="11"/>
      <c r="D134">
        <v>0.10677355863754839</v>
      </c>
      <c r="E134">
        <v>6.671275856297923E-2</v>
      </c>
      <c r="F134">
        <v>3.824750561107803E-2</v>
      </c>
      <c r="G134">
        <v>4.295175071001104E-2</v>
      </c>
    </row>
    <row r="135" spans="1:7">
      <c r="A135" s="11"/>
      <c r="D135">
        <v>0.1084422802776487</v>
      </c>
      <c r="E135">
        <v>6.7224453470298026E-2</v>
      </c>
      <c r="F135">
        <v>3.8180873739482778E-2</v>
      </c>
      <c r="G135">
        <v>4.2040947377493983E-2</v>
      </c>
    </row>
    <row r="136" spans="1:7">
      <c r="A136" s="11"/>
      <c r="D136">
        <v>0.11030209485674379</v>
      </c>
      <c r="E136">
        <v>6.8946157975694644E-2</v>
      </c>
      <c r="F136">
        <v>3.7483778677790701E-2</v>
      </c>
      <c r="G136">
        <v>4.2031304874351194E-2</v>
      </c>
    </row>
    <row r="137" spans="1:7">
      <c r="A137" s="11"/>
      <c r="D137">
        <v>0.1119823775001399</v>
      </c>
      <c r="E137">
        <v>7.0711042036947808E-2</v>
      </c>
      <c r="F137">
        <v>3.6756793740637998E-2</v>
      </c>
      <c r="G137">
        <v>4.1174880026064405E-2</v>
      </c>
    </row>
    <row r="138" spans="1:7">
      <c r="A138" s="11"/>
      <c r="D138">
        <v>0.11385442780165753</v>
      </c>
      <c r="E138">
        <v>7.1308557750912827E-2</v>
      </c>
      <c r="F138">
        <v>3.633435681977476E-2</v>
      </c>
      <c r="G138">
        <v>4.0350600727395651E-2</v>
      </c>
    </row>
    <row r="139" spans="1:7">
      <c r="A139" s="11"/>
      <c r="D139">
        <v>0.11554521575534048</v>
      </c>
      <c r="E139">
        <v>7.3802363186863548E-2</v>
      </c>
      <c r="F139">
        <v>3.6064164916311092E-2</v>
      </c>
      <c r="G139">
        <v>4.0091571353789553E-2</v>
      </c>
    </row>
    <row r="140" spans="1:7">
      <c r="A140" s="11"/>
      <c r="D140">
        <v>0.11742839786395884</v>
      </c>
      <c r="E140">
        <v>7.4359757473709834E-2</v>
      </c>
      <c r="F140">
        <v>3.5403686609794906E-2</v>
      </c>
      <c r="G140">
        <v>3.9565385212276073E-2</v>
      </c>
    </row>
    <row r="141" spans="1:7">
      <c r="A141" s="11"/>
      <c r="D141">
        <v>0.11912875468126558</v>
      </c>
      <c r="E141">
        <v>7.6427179718225949E-2</v>
      </c>
      <c r="F141">
        <v>3.4773319870359469E-2</v>
      </c>
      <c r="G141">
        <v>3.8816716358741149E-2</v>
      </c>
    </row>
    <row r="142" spans="1:7">
      <c r="A142" s="11"/>
      <c r="D142">
        <v>0.12102208812587149</v>
      </c>
      <c r="E142">
        <v>7.8146236102833097E-2</v>
      </c>
      <c r="F142">
        <v>3.4603501773000755E-2</v>
      </c>
      <c r="G142">
        <v>3.8271981927772647E-2</v>
      </c>
    </row>
    <row r="143" spans="1:7">
      <c r="A143" s="11"/>
      <c r="D143">
        <v>0.12273118101960377</v>
      </c>
      <c r="E143">
        <v>7.9178575619264696E-2</v>
      </c>
      <c r="F143">
        <v>3.417117941099504E-2</v>
      </c>
      <c r="G143">
        <v>3.8102268307987248E-2</v>
      </c>
    </row>
    <row r="144" spans="1:7">
      <c r="A144" s="11"/>
      <c r="D144">
        <v>0.12463379276260843</v>
      </c>
      <c r="E144">
        <v>8.2032168272489769E-2</v>
      </c>
      <c r="F144">
        <v>3.298037506434965E-2</v>
      </c>
      <c r="G144">
        <v>3.7419891399624712E-2</v>
      </c>
    </row>
    <row r="145" spans="1:7">
      <c r="A145" s="11"/>
      <c r="D145">
        <v>0.12635087926730451</v>
      </c>
      <c r="E145">
        <v>8.2046490476970199E-2</v>
      </c>
      <c r="F145">
        <v>3.1457308621027517E-2</v>
      </c>
      <c r="G145">
        <v>3.6564062930025808E-2</v>
      </c>
    </row>
    <row r="146" spans="1:7">
      <c r="A146" s="11"/>
      <c r="D146">
        <v>0.12826198999327923</v>
      </c>
      <c r="E146">
        <v>8.5013257404997128E-2</v>
      </c>
      <c r="F146">
        <v>3.0027007426638542E-2</v>
      </c>
      <c r="G146">
        <v>3.4959736582010174E-2</v>
      </c>
    </row>
    <row r="147" spans="1:7">
      <c r="A147" s="11"/>
      <c r="D147">
        <v>0.12998640653303639</v>
      </c>
      <c r="E147">
        <v>8.5962204631699998E-2</v>
      </c>
      <c r="F147">
        <v>2.868260913041502E-2</v>
      </c>
      <c r="G147">
        <v>3.3451391891508218E-2</v>
      </c>
    </row>
    <row r="148" spans="1:7">
      <c r="A148" s="11"/>
      <c r="D148">
        <v>0.13190531888546392</v>
      </c>
      <c r="E148">
        <v>8.8051258663592397E-2</v>
      </c>
      <c r="F148">
        <v>2.7417710589330024E-2</v>
      </c>
      <c r="G148">
        <v>3.2031917747196909E-2</v>
      </c>
    </row>
    <row r="149" spans="1:7">
      <c r="A149" s="11"/>
      <c r="D149">
        <v>0.13363647095654416</v>
      </c>
      <c r="E149">
        <v>8.9861478864855543E-2</v>
      </c>
      <c r="F149">
        <v>2.6226372144865572E-2</v>
      </c>
      <c r="G149">
        <v>3.0694710440968533E-2</v>
      </c>
    </row>
    <row r="150" spans="1:7">
      <c r="A150" s="11"/>
      <c r="D150">
        <v>0.13556255942594334</v>
      </c>
      <c r="E150">
        <v>9.1120333316510344E-2</v>
      </c>
      <c r="F150">
        <v>2.5103107356804044E-2</v>
      </c>
      <c r="G150">
        <v>2.9433664382479997E-2</v>
      </c>
    </row>
    <row r="151" spans="1:7">
      <c r="A151" s="11"/>
      <c r="D151">
        <v>0.13729991314878304</v>
      </c>
      <c r="E151">
        <v>9.3634684170336241E-2</v>
      </c>
      <c r="F151">
        <v>2.4042863647996619E-2</v>
      </c>
      <c r="G151">
        <v>2.8243152211503475E-2</v>
      </c>
    </row>
    <row r="152" spans="1:7">
      <c r="A152" s="11"/>
      <c r="D152">
        <v>0.1392326153620104</v>
      </c>
      <c r="E152">
        <v>9.4165218711255633E-2</v>
      </c>
      <c r="F152">
        <v>2.3040997662945373E-2</v>
      </c>
      <c r="G152">
        <v>2.711799864766342E-2</v>
      </c>
    </row>
    <row r="153" spans="1:7">
      <c r="A153" s="11"/>
      <c r="D153">
        <v>0.14097569019587761</v>
      </c>
      <c r="E153">
        <v>9.7113540823325781E-2</v>
      </c>
      <c r="F153">
        <v>2.2093247952976243E-2</v>
      </c>
      <c r="G153">
        <v>2.6053451069679164E-2</v>
      </c>
    </row>
    <row r="154" spans="1:7">
      <c r="A154" s="11"/>
      <c r="D154">
        <v>0.142914499395881</v>
      </c>
      <c r="E154">
        <v>9.7167887674629222E-2</v>
      </c>
      <c r="F154">
        <v>2.1195706750419339E-2</v>
      </c>
      <c r="G154">
        <v>2.5045148851469821E-2</v>
      </c>
    </row>
    <row r="155" spans="1:7">
      <c r="A155" s="11"/>
      <c r="D155">
        <v>0.14466286184208235</v>
      </c>
      <c r="E155">
        <v>9.9875145688811728E-2</v>
      </c>
      <c r="F155">
        <v>2.0344791991589183E-2</v>
      </c>
      <c r="G155">
        <v>2.4089092797282004E-2</v>
      </c>
    </row>
    <row r="156" spans="1:7">
      <c r="A156" s="11"/>
      <c r="D156">
        <v>0.14660732038067414</v>
      </c>
      <c r="E156">
        <v>0.10033422778543893</v>
      </c>
      <c r="F156">
        <v>1.9537220324968751E-2</v>
      </c>
      <c r="G156">
        <v>2.3181615535403512E-2</v>
      </c>
    </row>
    <row r="157" spans="1:7">
      <c r="A157" s="11"/>
      <c r="D157">
        <v>0.14836057852770521</v>
      </c>
      <c r="E157">
        <v>0.1023437980099909</v>
      </c>
      <c r="F157">
        <v>1.8769981546436387E-2</v>
      </c>
      <c r="G157">
        <v>2.2319353393293752E-2</v>
      </c>
    </row>
    <row r="158" spans="1:7">
      <c r="A158" s="11"/>
      <c r="D158">
        <v>0.15031027222190979</v>
      </c>
      <c r="E158">
        <v>0.10300406678258764</v>
      </c>
      <c r="F158">
        <v>1.8040314700863237E-2</v>
      </c>
      <c r="G158">
        <v>2.1499220044646328E-2</v>
      </c>
    </row>
    <row r="159" spans="1:7">
      <c r="A159" s="11"/>
      <c r="D159">
        <v>0.15206807100902531</v>
      </c>
      <c r="E159">
        <v>0.10440229503169414</v>
      </c>
      <c r="F159">
        <v>1.7345685952309817E-2</v>
      </c>
      <c r="G159">
        <v>2.0718382060926653E-2</v>
      </c>
    </row>
    <row r="160" spans="1:7">
      <c r="A160" s="11"/>
      <c r="D160">
        <v>0.15402262423502669</v>
      </c>
      <c r="E160">
        <v>0.10505894738017715</v>
      </c>
      <c r="F160">
        <v>1.6683768234160765E-2</v>
      </c>
      <c r="G160">
        <v>1.9974236394586342E-2</v>
      </c>
    </row>
    <row r="161" spans="1:7">
      <c r="A161" s="11"/>
      <c r="D161">
        <v>0.15578464133005274</v>
      </c>
      <c r="E161">
        <v>0.10593163140997032</v>
      </c>
      <c r="F161">
        <v>1.6052422632076058E-2</v>
      </c>
      <c r="G161">
        <v>1.9264389752842573E-2</v>
      </c>
    </row>
    <row r="162" spans="1:7">
      <c r="A162" s="11"/>
      <c r="D162">
        <v>0.15950965495184613</v>
      </c>
      <c r="E162">
        <v>0.10640707466885807</v>
      </c>
      <c r="F162">
        <v>1.5449681416753486E-2</v>
      </c>
      <c r="G162">
        <v>1.8586639778450088E-2</v>
      </c>
    </row>
    <row r="163" spans="1:7">
      <c r="A163" s="11"/>
      <c r="D163">
        <v>0.16324253387514379</v>
      </c>
      <c r="E163">
        <v>0.10682384812228886</v>
      </c>
      <c r="F163">
        <v>1.4873732623173354E-2</v>
      </c>
      <c r="G163">
        <v>1.7938957929313517E-2</v>
      </c>
    </row>
    <row r="164" spans="1:7">
      <c r="A164" s="11"/>
      <c r="D164">
        <v>0.16698275061722556</v>
      </c>
      <c r="E164">
        <v>0.10699672417720303</v>
      </c>
      <c r="F164">
        <v>1.4322906063252941E-2</v>
      </c>
      <c r="G164">
        <v>1.7319473936419333E-2</v>
      </c>
    </row>
    <row r="165" spans="1:7">
      <c r="A165" s="11"/>
    </row>
    <row r="166" spans="1:7">
      <c r="A166" s="11"/>
    </row>
    <row r="167" spans="1:7">
      <c r="A167" s="11"/>
    </row>
    <row r="168" spans="1:7">
      <c r="A168" s="11"/>
    </row>
    <row r="169" spans="1:7">
      <c r="A169" s="11"/>
    </row>
    <row r="170" spans="1:7">
      <c r="A170" s="11"/>
    </row>
    <row r="171" spans="1:7">
      <c r="A171" s="11"/>
    </row>
    <row r="172" spans="1:7">
      <c r="A172" s="11"/>
    </row>
    <row r="173" spans="1:7">
      <c r="A173" s="11"/>
    </row>
    <row r="174" spans="1:7">
      <c r="A174" s="11"/>
    </row>
    <row r="175" spans="1:7">
      <c r="A175" s="11"/>
    </row>
    <row r="176" spans="1:7">
      <c r="A176" s="11"/>
    </row>
    <row r="177" spans="1:1">
      <c r="A177" s="11"/>
    </row>
    <row r="178" spans="1:1">
      <c r="A178" s="11"/>
    </row>
    <row r="179" spans="1:1">
      <c r="A179" s="11"/>
    </row>
    <row r="180" spans="1:1">
      <c r="A180" s="11"/>
    </row>
    <row r="181" spans="1:1">
      <c r="A181" s="11"/>
    </row>
    <row r="182" spans="1:1">
      <c r="A182" s="11"/>
    </row>
    <row r="183" spans="1:1">
      <c r="A183" s="11"/>
    </row>
    <row r="184" spans="1:1">
      <c r="A184" s="11"/>
    </row>
    <row r="185" spans="1:1">
      <c r="A185" s="11"/>
    </row>
    <row r="186" spans="1:1">
      <c r="A186" s="11"/>
    </row>
    <row r="187" spans="1:1">
      <c r="A187" s="11"/>
    </row>
    <row r="188" spans="1:1">
      <c r="A188" s="11"/>
    </row>
    <row r="189" spans="1:1">
      <c r="A189" s="11"/>
    </row>
    <row r="190" spans="1:1">
      <c r="A190" s="11"/>
    </row>
    <row r="191" spans="1:1">
      <c r="A191" s="11"/>
    </row>
    <row r="192" spans="1:1">
      <c r="A192" s="11"/>
    </row>
    <row r="193" spans="1:1">
      <c r="A193" s="11"/>
    </row>
    <row r="194" spans="1:1">
      <c r="A194" s="11"/>
    </row>
    <row r="195" spans="1:1">
      <c r="A195" s="11"/>
    </row>
    <row r="196" spans="1:1">
      <c r="A196" s="11"/>
    </row>
    <row r="197" spans="1:1">
      <c r="A197" s="11"/>
    </row>
    <row r="198" spans="1:1">
      <c r="A198" s="11"/>
    </row>
    <row r="199" spans="1:1">
      <c r="A199" s="11"/>
    </row>
    <row r="200" spans="1:1">
      <c r="A200" s="11"/>
    </row>
    <row r="201" spans="1:1">
      <c r="A201" s="11"/>
    </row>
    <row r="202" spans="1:1">
      <c r="A202" s="11"/>
    </row>
    <row r="203" spans="1:1">
      <c r="A203" s="11"/>
    </row>
    <row r="204" spans="1:1">
      <c r="A204" s="11"/>
    </row>
    <row r="205" spans="1:1">
      <c r="A205" s="11"/>
    </row>
    <row r="206" spans="1:1">
      <c r="A206" s="11"/>
    </row>
    <row r="207" spans="1:1">
      <c r="A207" s="11"/>
    </row>
    <row r="208" spans="1:1">
      <c r="A208" s="11"/>
    </row>
    <row r="209" spans="1:1">
      <c r="A209" s="11"/>
    </row>
    <row r="210" spans="1:1">
      <c r="A210" s="11"/>
    </row>
    <row r="211" spans="1:1">
      <c r="A211" s="11"/>
    </row>
    <row r="212" spans="1:1">
      <c r="A212" s="11"/>
    </row>
    <row r="213" spans="1:1">
      <c r="A213" s="11"/>
    </row>
    <row r="214" spans="1:1">
      <c r="A214" s="11"/>
    </row>
    <row r="215" spans="1:1">
      <c r="A215" s="11"/>
    </row>
    <row r="216" spans="1:1">
      <c r="A216" s="11"/>
    </row>
    <row r="217" spans="1:1">
      <c r="A217" s="11"/>
    </row>
    <row r="218" spans="1:1">
      <c r="A218" s="11"/>
    </row>
    <row r="219" spans="1:1">
      <c r="A219" s="11"/>
    </row>
    <row r="220" spans="1:1">
      <c r="A220" s="11"/>
    </row>
    <row r="221" spans="1:1">
      <c r="A221" s="11"/>
    </row>
    <row r="222" spans="1:1">
      <c r="A222" s="11"/>
    </row>
    <row r="223" spans="1:1">
      <c r="A223" s="11"/>
    </row>
    <row r="224" spans="1:1">
      <c r="A224" s="11"/>
    </row>
    <row r="225" spans="1:1">
      <c r="A225" s="11"/>
    </row>
    <row r="226" spans="1:1">
      <c r="A226" s="11"/>
    </row>
    <row r="227" spans="1:1">
      <c r="A227" s="11"/>
    </row>
    <row r="228" spans="1:1">
      <c r="A228" s="11"/>
    </row>
    <row r="229" spans="1:1">
      <c r="A229" s="11"/>
    </row>
    <row r="230" spans="1:1">
      <c r="A230" s="11"/>
    </row>
    <row r="231" spans="1:1">
      <c r="A231" s="11"/>
    </row>
    <row r="232" spans="1:1">
      <c r="A232" s="11"/>
    </row>
    <row r="233" spans="1:1">
      <c r="A233" s="11"/>
    </row>
  </sheetData>
  <sortState xmlns:xlrd2="http://schemas.microsoft.com/office/spreadsheetml/2017/richdata2" ref="F85:F164">
    <sortCondition descending="1" ref="F85:F164"/>
  </sortState>
  <mergeCells count="4">
    <mergeCell ref="H9:M9"/>
    <mergeCell ref="H10:M10"/>
    <mergeCell ref="H11:M11"/>
    <mergeCell ref="H12:M12"/>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Khoa Le</dc:creator>
  <cp:keywords/>
  <dc:description/>
  <cp:lastModifiedBy/>
  <cp:revision/>
  <dcterms:created xsi:type="dcterms:W3CDTF">2015-06-05T18:17:20Z</dcterms:created>
  <dcterms:modified xsi:type="dcterms:W3CDTF">2026-10-18T16:12:46Z</dcterms:modified>
  <cp:category/>
  <cp:contentStatus/>
</cp:coreProperties>
</file>